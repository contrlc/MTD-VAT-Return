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mc:AlternateContent xmlns:mc="http://schemas.openxmlformats.org/markup-compatibility/2006">
    <mc:Choice Requires="x15">
      <x15ac:absPath xmlns:x15ac="http://schemas.microsoft.com/office/spreadsheetml/2010/11/ac" url="C:\Users\barna\Desktop\MTD\"/>
    </mc:Choice>
  </mc:AlternateContent>
  <xr:revisionPtr revIDLastSave="0" documentId="13_ncr:1_{C81C006A-0264-4224-8602-A7FFE842CC2C}" xr6:coauthVersionLast="43" xr6:coauthVersionMax="43" xr10:uidLastSave="{00000000-0000-0000-0000-000000000000}"/>
  <bookViews>
    <workbookView xWindow="1080" yWindow="1080" windowWidth="18312" windowHeight="10824" tabRatio="607" firstSheet="15" activeTab="20" xr2:uid="{00000000-000D-0000-FFFF-FFFF00000000}"/>
  </bookViews>
  <sheets>
    <sheet name="Company Info" sheetId="1" r:id="rId1"/>
    <sheet name="Introduction" sheetId="2" r:id="rId2"/>
    <sheet name="Procedure" sheetId="3" r:id="rId3"/>
    <sheet name="Month 1" sheetId="4" r:id="rId4"/>
    <sheet name="Month 2" sheetId="5" r:id="rId5"/>
    <sheet name="Month 3" sheetId="6" r:id="rId6"/>
    <sheet name="Month 4" sheetId="7" r:id="rId7"/>
    <sheet name="Month 5" sheetId="8" r:id="rId8"/>
    <sheet name="Month 6" sheetId="9" r:id="rId9"/>
    <sheet name="Month 7" sheetId="10" r:id="rId10"/>
    <sheet name="Month 8" sheetId="11" r:id="rId11"/>
    <sheet name="Month 9" sheetId="12" r:id="rId12"/>
    <sheet name="Month 10" sheetId="13" r:id="rId13"/>
    <sheet name="Month 11" sheetId="14" r:id="rId14"/>
    <sheet name="Month 12" sheetId="15" r:id="rId15"/>
    <sheet name="VAT 1st Qtr" sheetId="16" r:id="rId16"/>
    <sheet name="VAT 2nd Qtr" sheetId="17" r:id="rId17"/>
    <sheet name="VAT 3rd Qtr" sheetId="18" r:id="rId18"/>
    <sheet name="VAT 4th Qtr" sheetId="19" r:id="rId19"/>
    <sheet name="Annual Summary" sheetId="20" r:id="rId20"/>
    <sheet name="MTD" sheetId="21" r:id="rId21"/>
  </sheets>
  <definedNames>
    <definedName name="_xlnm.Print_Titles" localSheetId="19">'Annual Summary'!$1:$1</definedName>
    <definedName name="Z_93A5533C_1BF0_4CFD_B527_DBAD1AD08F71_.wvu.PrintArea" localSheetId="3" hidden="1">'Month 1'!$1:$1048576</definedName>
    <definedName name="Z_93A5533C_1BF0_4CFD_B527_DBAD1AD08F71_.wvu.PrintArea" localSheetId="12" hidden="1">'Month 10'!$1:$1048576</definedName>
    <definedName name="Z_93A5533C_1BF0_4CFD_B527_DBAD1AD08F71_.wvu.PrintArea" localSheetId="13" hidden="1">'Month 11'!$1:$1048576</definedName>
    <definedName name="Z_93A5533C_1BF0_4CFD_B527_DBAD1AD08F71_.wvu.PrintArea" localSheetId="14" hidden="1">'Month 12'!$1:$1048576</definedName>
    <definedName name="Z_93A5533C_1BF0_4CFD_B527_DBAD1AD08F71_.wvu.PrintArea" localSheetId="4" hidden="1">'Month 2'!$1:$1048576</definedName>
    <definedName name="Z_93A5533C_1BF0_4CFD_B527_DBAD1AD08F71_.wvu.PrintArea" localSheetId="5" hidden="1">'Month 3'!$1:$1048576</definedName>
    <definedName name="Z_93A5533C_1BF0_4CFD_B527_DBAD1AD08F71_.wvu.PrintArea" localSheetId="6" hidden="1">'Month 4'!$1:$1048576</definedName>
    <definedName name="Z_93A5533C_1BF0_4CFD_B527_DBAD1AD08F71_.wvu.PrintArea" localSheetId="7" hidden="1">'Month 5'!$1:$1048576</definedName>
    <definedName name="Z_93A5533C_1BF0_4CFD_B527_DBAD1AD08F71_.wvu.PrintArea" localSheetId="8" hidden="1">'Month 6'!$1:$1048576</definedName>
    <definedName name="Z_93A5533C_1BF0_4CFD_B527_DBAD1AD08F71_.wvu.PrintArea" localSheetId="9" hidden="1">'Month 7'!$1:$1048576</definedName>
    <definedName name="Z_93A5533C_1BF0_4CFD_B527_DBAD1AD08F71_.wvu.PrintArea" localSheetId="10" hidden="1">'Month 8'!$1:$1048576</definedName>
    <definedName name="Z_93A5533C_1BF0_4CFD_B527_DBAD1AD08F71_.wvu.PrintArea" localSheetId="11" hidden="1">'Month 9'!$1:$1048576</definedName>
    <definedName name="Z_93A5533C_1BF0_4CFD_B527_DBAD1AD08F71_.wvu.PrintArea" localSheetId="15" hidden="1">'VAT 1st Qtr'!$A$1:$I$66</definedName>
    <definedName name="Z_93A5533C_1BF0_4CFD_B527_DBAD1AD08F71_.wvu.PrintArea" localSheetId="16" hidden="1">'VAT 2nd Qtr'!$A$1:$I$66</definedName>
    <definedName name="Z_93A5533C_1BF0_4CFD_B527_DBAD1AD08F71_.wvu.PrintArea" localSheetId="17" hidden="1">'VAT 3rd Qtr'!$A$1:$I$66</definedName>
    <definedName name="Z_93A5533C_1BF0_4CFD_B527_DBAD1AD08F71_.wvu.PrintArea" localSheetId="18" hidden="1">'VAT 4th Qtr'!$A$1:$I$66</definedName>
  </definedNames>
  <calcPr calcId="191029"/>
  <customWorkbookViews>
    <customWorkbookView name="Mohamed - Personal View" guid="{93A5533C-1BF0-4CFD-B527-DBAD1AD08F71}" mergeInterval="0" personalView="1" maximized="1" windowWidth="1020" windowHeight="606" activeSheetId="20"/>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2" i="21" l="1"/>
  <c r="I12" i="21"/>
  <c r="G14" i="21"/>
  <c r="I14" i="21"/>
  <c r="G17" i="21"/>
  <c r="I17" i="21"/>
  <c r="G19" i="21"/>
  <c r="I19" i="21"/>
  <c r="G22" i="21"/>
  <c r="I22" i="21"/>
  <c r="G25" i="21"/>
  <c r="I25" i="21"/>
  <c r="G28" i="21"/>
  <c r="I28" i="21"/>
  <c r="G31" i="21"/>
  <c r="I31" i="21"/>
  <c r="G34" i="21"/>
  <c r="I34" i="21"/>
  <c r="E64" i="20" l="1"/>
  <c r="F63" i="20"/>
  <c r="K56" i="20"/>
  <c r="K58" i="20"/>
  <c r="L56" i="20"/>
  <c r="E37" i="20"/>
  <c r="G35" i="20"/>
  <c r="H35" i="20"/>
  <c r="K33" i="20"/>
  <c r="L43" i="20"/>
  <c r="E12" i="20"/>
  <c r="F11" i="20"/>
  <c r="G9" i="20"/>
  <c r="I19" i="20"/>
  <c r="K17" i="20"/>
  <c r="D76" i="7"/>
  <c r="D35" i="7"/>
  <c r="D9" i="7"/>
  <c r="D79" i="4"/>
  <c r="D36" i="4"/>
  <c r="D10" i="4"/>
  <c r="D11" i="4"/>
  <c r="D11" i="15"/>
  <c r="D11" i="14"/>
  <c r="D11" i="13"/>
  <c r="D11" i="12"/>
  <c r="D11" i="11"/>
  <c r="D11" i="10"/>
  <c r="D11" i="9"/>
  <c r="D11" i="8"/>
  <c r="D11" i="7"/>
  <c r="D11" i="6"/>
  <c r="D11" i="5"/>
  <c r="F19" i="4"/>
  <c r="D8" i="20" s="1"/>
  <c r="I59" i="19"/>
  <c r="I59" i="18"/>
  <c r="I59" i="17"/>
  <c r="I59" i="16"/>
  <c r="I9" i="17"/>
  <c r="I9" i="18"/>
  <c r="I9" i="19" s="1"/>
  <c r="E19" i="4"/>
  <c r="C8" i="20" s="1"/>
  <c r="E12" i="16"/>
  <c r="E19" i="5"/>
  <c r="E19" i="6"/>
  <c r="D73" i="4"/>
  <c r="D74" i="4"/>
  <c r="D75" i="4"/>
  <c r="D76" i="4"/>
  <c r="D77" i="4"/>
  <c r="D78" i="4"/>
  <c r="D80" i="4"/>
  <c r="D81" i="4"/>
  <c r="D82" i="4"/>
  <c r="D83" i="4"/>
  <c r="D84" i="4"/>
  <c r="D85" i="4"/>
  <c r="D86" i="4"/>
  <c r="D73" i="5"/>
  <c r="D88" i="5" s="1"/>
  <c r="B56" i="20" s="1"/>
  <c r="D74" i="5"/>
  <c r="D75" i="5"/>
  <c r="D76" i="5"/>
  <c r="D77" i="5"/>
  <c r="D78" i="5"/>
  <c r="D79" i="5"/>
  <c r="D80" i="5"/>
  <c r="D81" i="5"/>
  <c r="D82" i="5"/>
  <c r="D83" i="5"/>
  <c r="D84" i="5"/>
  <c r="D85" i="5"/>
  <c r="D86" i="5"/>
  <c r="D73" i="6"/>
  <c r="D74" i="6"/>
  <c r="D75" i="6"/>
  <c r="D76" i="6"/>
  <c r="D77" i="6"/>
  <c r="D78" i="6"/>
  <c r="D79" i="6"/>
  <c r="D80" i="6"/>
  <c r="D81" i="6"/>
  <c r="D82" i="6"/>
  <c r="D83" i="6"/>
  <c r="D84" i="6"/>
  <c r="D85" i="6"/>
  <c r="D86" i="6"/>
  <c r="D73" i="7"/>
  <c r="D74" i="7"/>
  <c r="D75" i="7"/>
  <c r="D77" i="7"/>
  <c r="D78" i="7"/>
  <c r="D79" i="7"/>
  <c r="D80" i="7"/>
  <c r="D81" i="7"/>
  <c r="D82" i="7"/>
  <c r="D83" i="7"/>
  <c r="D84" i="7"/>
  <c r="D85" i="7"/>
  <c r="D86" i="7"/>
  <c r="D73" i="8"/>
  <c r="D74" i="8"/>
  <c r="D75" i="8"/>
  <c r="D76" i="8"/>
  <c r="D77" i="8"/>
  <c r="D78" i="8"/>
  <c r="D79" i="8"/>
  <c r="D80" i="8"/>
  <c r="D81" i="8"/>
  <c r="D82" i="8"/>
  <c r="D83" i="8"/>
  <c r="D84" i="8"/>
  <c r="D85" i="8"/>
  <c r="D86" i="8"/>
  <c r="D73" i="9"/>
  <c r="D74" i="9"/>
  <c r="D75" i="9"/>
  <c r="D76" i="9"/>
  <c r="D77" i="9"/>
  <c r="D78" i="9"/>
  <c r="D79" i="9"/>
  <c r="D80" i="9"/>
  <c r="D81" i="9"/>
  <c r="D82" i="9"/>
  <c r="D83" i="9"/>
  <c r="D84" i="9"/>
  <c r="D85" i="9"/>
  <c r="D86" i="9"/>
  <c r="D73" i="10"/>
  <c r="D74" i="10"/>
  <c r="D75" i="10"/>
  <c r="D76" i="10"/>
  <c r="D77" i="10"/>
  <c r="D78" i="10"/>
  <c r="D79" i="10"/>
  <c r="D80" i="10"/>
  <c r="D81" i="10"/>
  <c r="D82" i="10"/>
  <c r="D83" i="10"/>
  <c r="D84" i="10"/>
  <c r="D85" i="10"/>
  <c r="D86" i="10"/>
  <c r="D73" i="11"/>
  <c r="D74" i="11"/>
  <c r="D75" i="11"/>
  <c r="D76" i="11"/>
  <c r="D77" i="11"/>
  <c r="D78" i="11"/>
  <c r="D79" i="11"/>
  <c r="D80" i="11"/>
  <c r="D81" i="11"/>
  <c r="D82" i="11"/>
  <c r="D83" i="11"/>
  <c r="D84" i="11"/>
  <c r="D85" i="11"/>
  <c r="D86" i="11"/>
  <c r="D73" i="12"/>
  <c r="D74" i="12"/>
  <c r="D75" i="12"/>
  <c r="D76" i="12"/>
  <c r="D77" i="12"/>
  <c r="D78" i="12"/>
  <c r="D79" i="12"/>
  <c r="D80" i="12"/>
  <c r="D81" i="12"/>
  <c r="D82" i="12"/>
  <c r="D83" i="12"/>
  <c r="D84" i="12"/>
  <c r="D85" i="12"/>
  <c r="D86" i="12"/>
  <c r="D73" i="13"/>
  <c r="D74" i="13"/>
  <c r="D75" i="13"/>
  <c r="D76" i="13"/>
  <c r="D77" i="13"/>
  <c r="D78" i="13"/>
  <c r="D79" i="13"/>
  <c r="D80" i="13"/>
  <c r="D81" i="13"/>
  <c r="D82" i="13"/>
  <c r="D83" i="13"/>
  <c r="D84" i="13"/>
  <c r="D85" i="13"/>
  <c r="D86" i="13"/>
  <c r="D73" i="14"/>
  <c r="D74" i="14"/>
  <c r="D75" i="14"/>
  <c r="D76" i="14"/>
  <c r="D77" i="14"/>
  <c r="D78" i="14"/>
  <c r="D79" i="14"/>
  <c r="D80" i="14"/>
  <c r="D81" i="14"/>
  <c r="D82" i="14"/>
  <c r="D83" i="14"/>
  <c r="D84" i="14"/>
  <c r="D85" i="14"/>
  <c r="D86" i="14"/>
  <c r="D73" i="15"/>
  <c r="D74" i="15"/>
  <c r="D75" i="15"/>
  <c r="D76" i="15"/>
  <c r="D77" i="15"/>
  <c r="D78" i="15"/>
  <c r="D79" i="15"/>
  <c r="D80" i="15"/>
  <c r="D81" i="15"/>
  <c r="D82" i="15"/>
  <c r="D83" i="15"/>
  <c r="D84" i="15"/>
  <c r="D85" i="15"/>
  <c r="D86" i="15"/>
  <c r="D27" i="4"/>
  <c r="D28" i="4"/>
  <c r="D29" i="4"/>
  <c r="D30" i="4"/>
  <c r="D31" i="4"/>
  <c r="D32" i="4"/>
  <c r="D33" i="4"/>
  <c r="D34" i="4"/>
  <c r="D35" i="4"/>
  <c r="D37" i="4"/>
  <c r="D38" i="4"/>
  <c r="D39" i="4"/>
  <c r="D40" i="4"/>
  <c r="D27" i="5"/>
  <c r="D28" i="5"/>
  <c r="D29" i="5"/>
  <c r="D30" i="5"/>
  <c r="D31" i="5"/>
  <c r="D32" i="5"/>
  <c r="D33" i="5"/>
  <c r="D34" i="5"/>
  <c r="D35" i="5"/>
  <c r="D36" i="5"/>
  <c r="D37" i="5"/>
  <c r="D38" i="5"/>
  <c r="D39" i="5"/>
  <c r="D40" i="5"/>
  <c r="D27" i="6"/>
  <c r="D28" i="6"/>
  <c r="D29" i="6"/>
  <c r="D30" i="6"/>
  <c r="D31" i="6"/>
  <c r="D32" i="6"/>
  <c r="D33" i="6"/>
  <c r="D34" i="6"/>
  <c r="D35" i="6"/>
  <c r="D36" i="6"/>
  <c r="D37" i="6"/>
  <c r="D38" i="6"/>
  <c r="D39" i="6"/>
  <c r="D40" i="6"/>
  <c r="D27" i="7"/>
  <c r="D28" i="7"/>
  <c r="D29" i="7"/>
  <c r="D30" i="7"/>
  <c r="D31" i="7"/>
  <c r="D32" i="7"/>
  <c r="D33" i="7"/>
  <c r="D34" i="7"/>
  <c r="D36" i="7"/>
  <c r="D37" i="7"/>
  <c r="D38" i="7"/>
  <c r="D39" i="7"/>
  <c r="D40" i="7"/>
  <c r="D27" i="8"/>
  <c r="D28" i="8"/>
  <c r="D29" i="8"/>
  <c r="D30" i="8"/>
  <c r="D31" i="8"/>
  <c r="D32" i="8"/>
  <c r="D33" i="8"/>
  <c r="D34" i="8"/>
  <c r="D35" i="8"/>
  <c r="D36" i="8"/>
  <c r="D37" i="8"/>
  <c r="D38" i="8"/>
  <c r="D39" i="8"/>
  <c r="D40" i="8"/>
  <c r="D27" i="9"/>
  <c r="D28" i="9"/>
  <c r="D29" i="9"/>
  <c r="D30" i="9"/>
  <c r="D31" i="9"/>
  <c r="D32" i="9"/>
  <c r="D33" i="9"/>
  <c r="D34" i="9"/>
  <c r="D35" i="9"/>
  <c r="D36" i="9"/>
  <c r="D37" i="9"/>
  <c r="D38" i="9"/>
  <c r="D39" i="9"/>
  <c r="D40" i="9"/>
  <c r="D27" i="10"/>
  <c r="D28" i="10"/>
  <c r="D29" i="10"/>
  <c r="D30" i="10"/>
  <c r="D31" i="10"/>
  <c r="D32" i="10"/>
  <c r="D33" i="10"/>
  <c r="D34" i="10"/>
  <c r="D35" i="10"/>
  <c r="D36" i="10"/>
  <c r="D37" i="10"/>
  <c r="D38" i="10"/>
  <c r="D39" i="10"/>
  <c r="D40" i="10"/>
  <c r="D27" i="11"/>
  <c r="D28" i="11"/>
  <c r="D29" i="11"/>
  <c r="D30" i="11"/>
  <c r="D31" i="11"/>
  <c r="D32" i="11"/>
  <c r="D33" i="11"/>
  <c r="D34" i="11"/>
  <c r="D35" i="11"/>
  <c r="D36" i="11"/>
  <c r="D37" i="11"/>
  <c r="D38" i="11"/>
  <c r="D39" i="11"/>
  <c r="D40" i="11"/>
  <c r="D27" i="12"/>
  <c r="D28" i="12"/>
  <c r="D29" i="12"/>
  <c r="D30" i="12"/>
  <c r="D31" i="12"/>
  <c r="D32" i="12"/>
  <c r="D33" i="12"/>
  <c r="D34" i="12"/>
  <c r="D35" i="12"/>
  <c r="D36" i="12"/>
  <c r="D37" i="12"/>
  <c r="D38" i="12"/>
  <c r="D39" i="12"/>
  <c r="D40" i="12"/>
  <c r="D27" i="13"/>
  <c r="D28" i="13"/>
  <c r="D29" i="13"/>
  <c r="D30" i="13"/>
  <c r="D31" i="13"/>
  <c r="D32" i="13"/>
  <c r="D33" i="13"/>
  <c r="D34" i="13"/>
  <c r="D35" i="13"/>
  <c r="D36" i="13"/>
  <c r="D37" i="13"/>
  <c r="D38" i="13"/>
  <c r="D39" i="13"/>
  <c r="D40" i="13"/>
  <c r="D27" i="14"/>
  <c r="D28" i="14"/>
  <c r="D29" i="14"/>
  <c r="D30" i="14"/>
  <c r="D31" i="14"/>
  <c r="D32" i="14"/>
  <c r="D33" i="14"/>
  <c r="D34" i="14"/>
  <c r="D35" i="14"/>
  <c r="D36" i="14"/>
  <c r="D37" i="14"/>
  <c r="D38" i="14"/>
  <c r="D39" i="14"/>
  <c r="D40" i="14"/>
  <c r="D27" i="15"/>
  <c r="D28" i="15"/>
  <c r="D29" i="15"/>
  <c r="D30" i="15"/>
  <c r="D31" i="15"/>
  <c r="D32" i="15"/>
  <c r="D33" i="15"/>
  <c r="D34" i="15"/>
  <c r="D35" i="15"/>
  <c r="D36" i="15"/>
  <c r="D37" i="15"/>
  <c r="D38" i="15"/>
  <c r="D39" i="15"/>
  <c r="D40" i="15"/>
  <c r="D6" i="4"/>
  <c r="D7" i="4"/>
  <c r="D8" i="4"/>
  <c r="D9" i="4"/>
  <c r="D12" i="4"/>
  <c r="D13" i="4"/>
  <c r="D14" i="4"/>
  <c r="D15" i="4"/>
  <c r="D16" i="4"/>
  <c r="D17" i="4"/>
  <c r="D6" i="5"/>
  <c r="D7" i="5"/>
  <c r="D8" i="5"/>
  <c r="D9" i="5"/>
  <c r="D10" i="5"/>
  <c r="D12" i="5"/>
  <c r="D13" i="5"/>
  <c r="D14" i="5"/>
  <c r="D15" i="5"/>
  <c r="D16" i="5"/>
  <c r="D17" i="5"/>
  <c r="D6" i="6"/>
  <c r="D7" i="6"/>
  <c r="D8" i="6"/>
  <c r="D9" i="6"/>
  <c r="D19" i="6" s="1"/>
  <c r="D10" i="6"/>
  <c r="D12" i="6"/>
  <c r="D13" i="6"/>
  <c r="D14" i="6"/>
  <c r="D15" i="6"/>
  <c r="D16" i="6"/>
  <c r="D17" i="6"/>
  <c r="D6" i="7"/>
  <c r="D7" i="7"/>
  <c r="D8" i="7"/>
  <c r="D10" i="7"/>
  <c r="D12" i="7"/>
  <c r="D13" i="7"/>
  <c r="D14" i="7"/>
  <c r="D15" i="7"/>
  <c r="D16" i="7"/>
  <c r="D17" i="7"/>
  <c r="D6" i="8"/>
  <c r="D7" i="8"/>
  <c r="D8" i="8"/>
  <c r="D9" i="8"/>
  <c r="D10" i="8"/>
  <c r="D12" i="8"/>
  <c r="D13" i="8"/>
  <c r="D14" i="8"/>
  <c r="D15" i="8"/>
  <c r="D16" i="8"/>
  <c r="D17" i="8"/>
  <c r="D6" i="9"/>
  <c r="D7" i="9"/>
  <c r="D8" i="9"/>
  <c r="D9" i="9"/>
  <c r="D10" i="9"/>
  <c r="D12" i="9"/>
  <c r="D13" i="9"/>
  <c r="D14" i="9"/>
  <c r="D15" i="9"/>
  <c r="D16" i="9"/>
  <c r="D17" i="9"/>
  <c r="D6" i="10"/>
  <c r="D7" i="10"/>
  <c r="D8" i="10"/>
  <c r="D9" i="10"/>
  <c r="D10" i="10"/>
  <c r="D12" i="10"/>
  <c r="D13" i="10"/>
  <c r="D14" i="10"/>
  <c r="D15" i="10"/>
  <c r="D16" i="10"/>
  <c r="D17" i="10"/>
  <c r="D6" i="11"/>
  <c r="D7" i="11"/>
  <c r="D8" i="11"/>
  <c r="D9" i="11"/>
  <c r="D10" i="11"/>
  <c r="D12" i="11"/>
  <c r="D13" i="11"/>
  <c r="D14" i="11"/>
  <c r="D15" i="11"/>
  <c r="D16" i="11"/>
  <c r="D17" i="11"/>
  <c r="D6" i="12"/>
  <c r="D7" i="12"/>
  <c r="D8" i="12"/>
  <c r="D9" i="12"/>
  <c r="D10" i="12"/>
  <c r="D12" i="12"/>
  <c r="D13" i="12"/>
  <c r="D14" i="12"/>
  <c r="D15" i="12"/>
  <c r="D16" i="12"/>
  <c r="D17" i="12"/>
  <c r="D6" i="13"/>
  <c r="D7" i="13"/>
  <c r="D8" i="13"/>
  <c r="D9" i="13"/>
  <c r="D10" i="13"/>
  <c r="D12" i="13"/>
  <c r="D13" i="13"/>
  <c r="D14" i="13"/>
  <c r="D15" i="13"/>
  <c r="D16" i="13"/>
  <c r="D17" i="13"/>
  <c r="D6" i="14"/>
  <c r="D7" i="14"/>
  <c r="D8" i="14"/>
  <c r="D9" i="14"/>
  <c r="D10" i="14"/>
  <c r="D12" i="14"/>
  <c r="D13" i="14"/>
  <c r="D14" i="14"/>
  <c r="D15" i="14"/>
  <c r="D16" i="14"/>
  <c r="D17" i="14"/>
  <c r="D6" i="15"/>
  <c r="D7" i="15"/>
  <c r="D8" i="15"/>
  <c r="D9" i="15"/>
  <c r="D10" i="15"/>
  <c r="D12" i="15"/>
  <c r="D13" i="15"/>
  <c r="D14" i="15"/>
  <c r="D15" i="15"/>
  <c r="D16" i="15"/>
  <c r="D17" i="15"/>
  <c r="B67" i="20"/>
  <c r="B54" i="20"/>
  <c r="B44" i="20"/>
  <c r="B31" i="20"/>
  <c r="B7" i="20"/>
  <c r="B20" i="20"/>
  <c r="M4" i="20"/>
  <c r="M51" i="20" s="1"/>
  <c r="A1" i="20"/>
  <c r="E19" i="7"/>
  <c r="E19" i="8"/>
  <c r="E19" i="9"/>
  <c r="C13" i="20" s="1"/>
  <c r="E19" i="10"/>
  <c r="E19" i="11"/>
  <c r="C15" i="20" s="1"/>
  <c r="E19" i="12"/>
  <c r="C16" i="20" s="1"/>
  <c r="E19" i="13"/>
  <c r="C17" i="20" s="1"/>
  <c r="E19" i="14"/>
  <c r="C18" i="20" s="1"/>
  <c r="E19" i="15"/>
  <c r="C19" i="20" s="1"/>
  <c r="F19" i="5"/>
  <c r="D9" i="20" s="1"/>
  <c r="F19" i="6"/>
  <c r="D10" i="20" s="1"/>
  <c r="F19" i="7"/>
  <c r="D11" i="20" s="1"/>
  <c r="F19" i="8"/>
  <c r="D12" i="20" s="1"/>
  <c r="F19" i="9"/>
  <c r="D13" i="20" s="1"/>
  <c r="F19" i="10"/>
  <c r="D14" i="20" s="1"/>
  <c r="F19" i="11"/>
  <c r="D15" i="20" s="1"/>
  <c r="F19" i="12"/>
  <c r="D16" i="20" s="1"/>
  <c r="F19" i="13"/>
  <c r="D17" i="20" s="1"/>
  <c r="F19" i="14"/>
  <c r="D18" i="20" s="1"/>
  <c r="F19" i="15"/>
  <c r="D19" i="20" s="1"/>
  <c r="G19" i="4"/>
  <c r="E8" i="20" s="1"/>
  <c r="G19" i="5"/>
  <c r="E9" i="20" s="1"/>
  <c r="G19" i="6"/>
  <c r="E10" i="20" s="1"/>
  <c r="G19" i="7"/>
  <c r="G12" i="17" s="1"/>
  <c r="G19" i="8"/>
  <c r="G13" i="17" s="1"/>
  <c r="G19" i="9"/>
  <c r="G14" i="17" s="1"/>
  <c r="G19" i="10"/>
  <c r="G19" i="11"/>
  <c r="G19" i="12"/>
  <c r="E16" i="20" s="1"/>
  <c r="G19" i="13"/>
  <c r="E17" i="20" s="1"/>
  <c r="G19" i="14"/>
  <c r="E18" i="20" s="1"/>
  <c r="G19" i="15"/>
  <c r="E19" i="20" s="1"/>
  <c r="H19" i="4"/>
  <c r="F8" i="20" s="1"/>
  <c r="H19" i="5"/>
  <c r="F9" i="20" s="1"/>
  <c r="H19" i="6"/>
  <c r="F10" i="20" s="1"/>
  <c r="H19" i="7"/>
  <c r="H19" i="8"/>
  <c r="F12" i="20" s="1"/>
  <c r="H19" i="9"/>
  <c r="F13" i="20" s="1"/>
  <c r="H19" i="10"/>
  <c r="F14" i="20" s="1"/>
  <c r="H19" i="11"/>
  <c r="F15" i="20" s="1"/>
  <c r="H19" i="12"/>
  <c r="F16" i="20" s="1"/>
  <c r="H19" i="13"/>
  <c r="F17" i="20" s="1"/>
  <c r="H19" i="14"/>
  <c r="F18" i="20" s="1"/>
  <c r="H19" i="15"/>
  <c r="F19" i="20" s="1"/>
  <c r="I19" i="4"/>
  <c r="G8" i="20" s="1"/>
  <c r="I19" i="5"/>
  <c r="I19" i="6"/>
  <c r="G10" i="20" s="1"/>
  <c r="I19" i="7"/>
  <c r="G11" i="20" s="1"/>
  <c r="I19" i="8"/>
  <c r="G12" i="20" s="1"/>
  <c r="I19" i="9"/>
  <c r="G13" i="20" s="1"/>
  <c r="I19" i="10"/>
  <c r="G14" i="20" s="1"/>
  <c r="I19" i="11"/>
  <c r="G15" i="20" s="1"/>
  <c r="I19" i="12"/>
  <c r="G16" i="20" s="1"/>
  <c r="I19" i="13"/>
  <c r="G17" i="20" s="1"/>
  <c r="I19" i="14"/>
  <c r="G18" i="20" s="1"/>
  <c r="I19" i="15"/>
  <c r="G19" i="20" s="1"/>
  <c r="J19" i="4"/>
  <c r="H8" i="20" s="1"/>
  <c r="J19" i="5"/>
  <c r="H9" i="20" s="1"/>
  <c r="J19" i="6"/>
  <c r="H10" i="20" s="1"/>
  <c r="J19" i="7"/>
  <c r="H11" i="20" s="1"/>
  <c r="J19" i="8"/>
  <c r="H12" i="20" s="1"/>
  <c r="J19" i="9"/>
  <c r="H13" i="20" s="1"/>
  <c r="J19" i="10"/>
  <c r="H14" i="20" s="1"/>
  <c r="J19" i="11"/>
  <c r="H15" i="20" s="1"/>
  <c r="J19" i="12"/>
  <c r="H16" i="20" s="1"/>
  <c r="J19" i="13"/>
  <c r="H17" i="20" s="1"/>
  <c r="J19" i="14"/>
  <c r="H18" i="20" s="1"/>
  <c r="J19" i="15"/>
  <c r="H19" i="20" s="1"/>
  <c r="K19" i="4"/>
  <c r="I8" i="20" s="1"/>
  <c r="K19" i="5"/>
  <c r="I9" i="20" s="1"/>
  <c r="I21" i="20" s="1"/>
  <c r="K19" i="6"/>
  <c r="I10" i="20" s="1"/>
  <c r="K19" i="7"/>
  <c r="I11" i="20" s="1"/>
  <c r="K19" i="8"/>
  <c r="I12" i="20" s="1"/>
  <c r="K19" i="9"/>
  <c r="I13" i="20" s="1"/>
  <c r="K19" i="10"/>
  <c r="I14" i="20" s="1"/>
  <c r="K19" i="11"/>
  <c r="I15" i="20" s="1"/>
  <c r="K19" i="12"/>
  <c r="I16" i="20" s="1"/>
  <c r="K19" i="13"/>
  <c r="I17" i="20" s="1"/>
  <c r="K19" i="14"/>
  <c r="I18" i="20" s="1"/>
  <c r="K19" i="15"/>
  <c r="L19" i="4"/>
  <c r="J8" i="20" s="1"/>
  <c r="L19" i="5"/>
  <c r="J9" i="20" s="1"/>
  <c r="L19" i="6"/>
  <c r="J10" i="20" s="1"/>
  <c r="L19" i="7"/>
  <c r="J11" i="20" s="1"/>
  <c r="L19" i="8"/>
  <c r="J12" i="20" s="1"/>
  <c r="L19" i="9"/>
  <c r="J13" i="20" s="1"/>
  <c r="L19" i="10"/>
  <c r="J14" i="20" s="1"/>
  <c r="L19" i="11"/>
  <c r="J15" i="20" s="1"/>
  <c r="L19" i="12"/>
  <c r="J16" i="20" s="1"/>
  <c r="L19" i="13"/>
  <c r="J17" i="20" s="1"/>
  <c r="L19" i="14"/>
  <c r="J18" i="20" s="1"/>
  <c r="L19" i="15"/>
  <c r="J19" i="20" s="1"/>
  <c r="M19" i="4"/>
  <c r="K8" i="20" s="1"/>
  <c r="M19" i="5"/>
  <c r="K9" i="20" s="1"/>
  <c r="M19" i="6"/>
  <c r="K10" i="20" s="1"/>
  <c r="M19" i="7"/>
  <c r="K11" i="20" s="1"/>
  <c r="M19" i="8"/>
  <c r="K12" i="20" s="1"/>
  <c r="M19" i="9"/>
  <c r="K13" i="20" s="1"/>
  <c r="M19" i="10"/>
  <c r="K14" i="20" s="1"/>
  <c r="M19" i="11"/>
  <c r="K15" i="20" s="1"/>
  <c r="M19" i="12"/>
  <c r="K16" i="20" s="1"/>
  <c r="M19" i="13"/>
  <c r="M19" i="14"/>
  <c r="K18" i="20" s="1"/>
  <c r="M19" i="15"/>
  <c r="K19" i="20" s="1"/>
  <c r="N19" i="4"/>
  <c r="L8" i="20" s="1"/>
  <c r="N19" i="5"/>
  <c r="L9" i="20" s="1"/>
  <c r="N19" i="6"/>
  <c r="L10" i="20" s="1"/>
  <c r="N19" i="7"/>
  <c r="L11" i="20" s="1"/>
  <c r="N19" i="8"/>
  <c r="L12" i="20" s="1"/>
  <c r="N19" i="9"/>
  <c r="L13" i="20" s="1"/>
  <c r="N19" i="10"/>
  <c r="L14" i="20" s="1"/>
  <c r="N19" i="11"/>
  <c r="L15" i="20" s="1"/>
  <c r="N19" i="12"/>
  <c r="L16" i="20" s="1"/>
  <c r="N19" i="13"/>
  <c r="L17" i="20" s="1"/>
  <c r="N19" i="14"/>
  <c r="L18" i="20" s="1"/>
  <c r="N19" i="15"/>
  <c r="L19" i="20" s="1"/>
  <c r="O19" i="4"/>
  <c r="M8" i="20" s="1"/>
  <c r="O19" i="5"/>
  <c r="M9" i="20" s="1"/>
  <c r="O19" i="6"/>
  <c r="M10" i="20" s="1"/>
  <c r="O19" i="7"/>
  <c r="M11" i="20" s="1"/>
  <c r="O19" i="8"/>
  <c r="M12" i="20" s="1"/>
  <c r="O19" i="9"/>
  <c r="M13" i="20" s="1"/>
  <c r="O19" i="10"/>
  <c r="M14" i="20" s="1"/>
  <c r="O19" i="11"/>
  <c r="M15" i="20" s="1"/>
  <c r="O19" i="12"/>
  <c r="M16" i="20" s="1"/>
  <c r="O19" i="13"/>
  <c r="M17" i="20" s="1"/>
  <c r="O19" i="14"/>
  <c r="M18" i="20" s="1"/>
  <c r="O19" i="15"/>
  <c r="M19" i="20" s="1"/>
  <c r="E42" i="4"/>
  <c r="C32" i="20" s="1"/>
  <c r="E42" i="5"/>
  <c r="C33" i="20" s="1"/>
  <c r="E42" i="6"/>
  <c r="C34" i="20" s="1"/>
  <c r="E42" i="7"/>
  <c r="C35" i="20" s="1"/>
  <c r="E42" i="8"/>
  <c r="C36" i="20" s="1"/>
  <c r="E42" i="9"/>
  <c r="C37" i="20" s="1"/>
  <c r="E42" i="10"/>
  <c r="C38" i="20" s="1"/>
  <c r="E42" i="11"/>
  <c r="C39" i="20" s="1"/>
  <c r="E42" i="12"/>
  <c r="C40" i="20" s="1"/>
  <c r="E42" i="13"/>
  <c r="C41" i="20" s="1"/>
  <c r="E42" i="14"/>
  <c r="C42" i="20" s="1"/>
  <c r="E42" i="15"/>
  <c r="C43" i="20" s="1"/>
  <c r="F42" i="4"/>
  <c r="D32" i="20" s="1"/>
  <c r="F42" i="5"/>
  <c r="D33" i="20" s="1"/>
  <c r="F42" i="6"/>
  <c r="D34" i="20" s="1"/>
  <c r="F42" i="7"/>
  <c r="D35" i="20" s="1"/>
  <c r="F42" i="8"/>
  <c r="D36" i="20" s="1"/>
  <c r="F42" i="9"/>
  <c r="D37" i="20" s="1"/>
  <c r="F42" i="10"/>
  <c r="D38" i="20" s="1"/>
  <c r="F42" i="11"/>
  <c r="D39" i="20" s="1"/>
  <c r="F42" i="12"/>
  <c r="D40" i="20" s="1"/>
  <c r="F42" i="13"/>
  <c r="D41" i="20" s="1"/>
  <c r="F42" i="14"/>
  <c r="D42" i="20" s="1"/>
  <c r="F42" i="15"/>
  <c r="D43" i="20" s="1"/>
  <c r="G42" i="4"/>
  <c r="E32" i="20" s="1"/>
  <c r="G42" i="5"/>
  <c r="E33" i="20" s="1"/>
  <c r="G42" i="6"/>
  <c r="E34" i="20" s="1"/>
  <c r="G42" i="7"/>
  <c r="E35" i="20" s="1"/>
  <c r="G42" i="8"/>
  <c r="E36" i="20" s="1"/>
  <c r="G42" i="9"/>
  <c r="G42" i="10"/>
  <c r="E38" i="20" s="1"/>
  <c r="G42" i="11"/>
  <c r="E39" i="20" s="1"/>
  <c r="G42" i="12"/>
  <c r="E40" i="20" s="1"/>
  <c r="G42" i="13"/>
  <c r="E41" i="20" s="1"/>
  <c r="G42" i="14"/>
  <c r="E42" i="20" s="1"/>
  <c r="G42" i="15"/>
  <c r="E43" i="20" s="1"/>
  <c r="H42" i="4"/>
  <c r="F32" i="20" s="1"/>
  <c r="H42" i="5"/>
  <c r="F33" i="20" s="1"/>
  <c r="H42" i="6"/>
  <c r="F34" i="20" s="1"/>
  <c r="H42" i="7"/>
  <c r="F35" i="20" s="1"/>
  <c r="H42" i="8"/>
  <c r="F36" i="20" s="1"/>
  <c r="H42" i="9"/>
  <c r="F37" i="20" s="1"/>
  <c r="H42" i="10"/>
  <c r="F38" i="20" s="1"/>
  <c r="H42" i="11"/>
  <c r="F39" i="20" s="1"/>
  <c r="H42" i="12"/>
  <c r="F40" i="20" s="1"/>
  <c r="H42" i="13"/>
  <c r="F41" i="20" s="1"/>
  <c r="H42" i="14"/>
  <c r="F42" i="20" s="1"/>
  <c r="H42" i="15"/>
  <c r="F43" i="20" s="1"/>
  <c r="I42" i="4"/>
  <c r="G32" i="20" s="1"/>
  <c r="I42" i="5"/>
  <c r="G33" i="20" s="1"/>
  <c r="I42" i="6"/>
  <c r="G34" i="20" s="1"/>
  <c r="I42" i="7"/>
  <c r="I42" i="8"/>
  <c r="G36" i="20" s="1"/>
  <c r="I42" i="9"/>
  <c r="G37" i="20" s="1"/>
  <c r="I42" i="10"/>
  <c r="G38" i="20" s="1"/>
  <c r="I42" i="11"/>
  <c r="G39" i="20" s="1"/>
  <c r="I42" i="12"/>
  <c r="G40" i="20" s="1"/>
  <c r="I42" i="13"/>
  <c r="G41" i="20" s="1"/>
  <c r="I42" i="14"/>
  <c r="G42" i="20" s="1"/>
  <c r="I42" i="15"/>
  <c r="G43" i="20" s="1"/>
  <c r="J42" i="4"/>
  <c r="H32" i="20" s="1"/>
  <c r="J42" i="5"/>
  <c r="H33" i="20" s="1"/>
  <c r="J42" i="6"/>
  <c r="H34" i="20" s="1"/>
  <c r="J42" i="7"/>
  <c r="J42" i="8"/>
  <c r="H36" i="20" s="1"/>
  <c r="J42" i="9"/>
  <c r="H37" i="20" s="1"/>
  <c r="J42" i="10"/>
  <c r="H38" i="20" s="1"/>
  <c r="J42" i="11"/>
  <c r="H39" i="20" s="1"/>
  <c r="J42" i="12"/>
  <c r="H40" i="20" s="1"/>
  <c r="J42" i="13"/>
  <c r="H41" i="20" s="1"/>
  <c r="J42" i="14"/>
  <c r="H42" i="20" s="1"/>
  <c r="J42" i="15"/>
  <c r="H43" i="20" s="1"/>
  <c r="K42" i="4"/>
  <c r="I32" i="20" s="1"/>
  <c r="K42" i="5"/>
  <c r="I33" i="20" s="1"/>
  <c r="K42" i="6"/>
  <c r="I34" i="20" s="1"/>
  <c r="K42" i="7"/>
  <c r="I35" i="20" s="1"/>
  <c r="K42" i="8"/>
  <c r="I36" i="20" s="1"/>
  <c r="K42" i="9"/>
  <c r="I37" i="20" s="1"/>
  <c r="K42" i="10"/>
  <c r="I38" i="20" s="1"/>
  <c r="K42" i="11"/>
  <c r="I39" i="20" s="1"/>
  <c r="K42" i="12"/>
  <c r="I40" i="20" s="1"/>
  <c r="K42" i="13"/>
  <c r="I41" i="20" s="1"/>
  <c r="K42" i="14"/>
  <c r="I42" i="20" s="1"/>
  <c r="K42" i="15"/>
  <c r="I43" i="20" s="1"/>
  <c r="L42" i="4"/>
  <c r="J32" i="20" s="1"/>
  <c r="L42" i="5"/>
  <c r="J33" i="20" s="1"/>
  <c r="L42" i="6"/>
  <c r="J34" i="20" s="1"/>
  <c r="J45" i="20" s="1"/>
  <c r="L42" i="7"/>
  <c r="J35" i="20" s="1"/>
  <c r="L42" i="8"/>
  <c r="J36" i="20" s="1"/>
  <c r="L42" i="9"/>
  <c r="J37" i="20" s="1"/>
  <c r="L42" i="10"/>
  <c r="J38" i="20" s="1"/>
  <c r="L42" i="11"/>
  <c r="J39" i="20" s="1"/>
  <c r="L42" i="12"/>
  <c r="J40" i="20" s="1"/>
  <c r="L42" i="13"/>
  <c r="J41" i="20" s="1"/>
  <c r="L42" i="14"/>
  <c r="J42" i="20" s="1"/>
  <c r="L42" i="15"/>
  <c r="J43" i="20" s="1"/>
  <c r="M42" i="4"/>
  <c r="K32" i="20" s="1"/>
  <c r="M42" i="5"/>
  <c r="M42" i="6"/>
  <c r="K34" i="20" s="1"/>
  <c r="M42" i="7"/>
  <c r="K35" i="20" s="1"/>
  <c r="M42" i="8"/>
  <c r="K36" i="20" s="1"/>
  <c r="M42" i="9"/>
  <c r="K37" i="20" s="1"/>
  <c r="M42" i="10"/>
  <c r="K38" i="20" s="1"/>
  <c r="M42" i="11"/>
  <c r="K39" i="20" s="1"/>
  <c r="M42" i="12"/>
  <c r="K40" i="20" s="1"/>
  <c r="M42" i="13"/>
  <c r="K41" i="20" s="1"/>
  <c r="M42" i="14"/>
  <c r="K42" i="20" s="1"/>
  <c r="M42" i="15"/>
  <c r="K43" i="20" s="1"/>
  <c r="N42" i="4"/>
  <c r="L32" i="20" s="1"/>
  <c r="N42" i="5"/>
  <c r="L33" i="20" s="1"/>
  <c r="N42" i="6"/>
  <c r="L34" i="20" s="1"/>
  <c r="N42" i="7"/>
  <c r="L35" i="20" s="1"/>
  <c r="N42" i="8"/>
  <c r="L36" i="20" s="1"/>
  <c r="N42" i="9"/>
  <c r="L37" i="20" s="1"/>
  <c r="N42" i="10"/>
  <c r="L38" i="20" s="1"/>
  <c r="N42" i="11"/>
  <c r="L39" i="20" s="1"/>
  <c r="N42" i="12"/>
  <c r="L40" i="20" s="1"/>
  <c r="N42" i="13"/>
  <c r="L41" i="20" s="1"/>
  <c r="N42" i="14"/>
  <c r="L42" i="20" s="1"/>
  <c r="N42" i="15"/>
  <c r="O42" i="4"/>
  <c r="M32" i="20" s="1"/>
  <c r="O42" i="5"/>
  <c r="M33" i="20" s="1"/>
  <c r="O42" i="6"/>
  <c r="M34" i="20" s="1"/>
  <c r="O42" i="7"/>
  <c r="M35" i="20" s="1"/>
  <c r="O42" i="8"/>
  <c r="O42" i="9"/>
  <c r="O42" i="10"/>
  <c r="O42" i="11"/>
  <c r="M39" i="20" s="1"/>
  <c r="O42" i="12"/>
  <c r="M40" i="20" s="1"/>
  <c r="O42" i="13"/>
  <c r="M41" i="20" s="1"/>
  <c r="O42" i="14"/>
  <c r="M42" i="20" s="1"/>
  <c r="O42" i="15"/>
  <c r="G27" i="19" s="1"/>
  <c r="E88" i="4"/>
  <c r="C55" i="20" s="1"/>
  <c r="E88" i="5"/>
  <c r="C56" i="20" s="1"/>
  <c r="E88" i="6"/>
  <c r="C57" i="20" s="1"/>
  <c r="E88" i="7"/>
  <c r="C58" i="20" s="1"/>
  <c r="E88" i="8"/>
  <c r="C59" i="20" s="1"/>
  <c r="E88" i="9"/>
  <c r="C60" i="20" s="1"/>
  <c r="E88" i="10"/>
  <c r="C61" i="20" s="1"/>
  <c r="E88" i="11"/>
  <c r="C62" i="20" s="1"/>
  <c r="E88" i="12"/>
  <c r="C63" i="20" s="1"/>
  <c r="E88" i="13"/>
  <c r="C64" i="20" s="1"/>
  <c r="E88" i="14"/>
  <c r="C65" i="20" s="1"/>
  <c r="E88" i="15"/>
  <c r="C66" i="20" s="1"/>
  <c r="F88" i="4"/>
  <c r="D55" i="20" s="1"/>
  <c r="F88" i="5"/>
  <c r="D56" i="20" s="1"/>
  <c r="F88" i="6"/>
  <c r="D57" i="20" s="1"/>
  <c r="F88" i="7"/>
  <c r="D58" i="20" s="1"/>
  <c r="F88" i="8"/>
  <c r="D59" i="20" s="1"/>
  <c r="F88" i="9"/>
  <c r="D60" i="20" s="1"/>
  <c r="F88" i="10"/>
  <c r="D61" i="20" s="1"/>
  <c r="F88" i="11"/>
  <c r="D62" i="20" s="1"/>
  <c r="F88" i="12"/>
  <c r="D63" i="20" s="1"/>
  <c r="F88" i="13"/>
  <c r="D64" i="20" s="1"/>
  <c r="F88" i="14"/>
  <c r="D65" i="20" s="1"/>
  <c r="F88" i="15"/>
  <c r="D66" i="20" s="1"/>
  <c r="G88" i="4"/>
  <c r="E55" i="20" s="1"/>
  <c r="G88" i="5"/>
  <c r="E56" i="20" s="1"/>
  <c r="G88" i="6"/>
  <c r="E57" i="20" s="1"/>
  <c r="G88" i="7"/>
  <c r="E58" i="20" s="1"/>
  <c r="G88" i="8"/>
  <c r="E59" i="20" s="1"/>
  <c r="G88" i="9"/>
  <c r="E60" i="20" s="1"/>
  <c r="G88" i="10"/>
  <c r="E61" i="20" s="1"/>
  <c r="G88" i="11"/>
  <c r="E62" i="20" s="1"/>
  <c r="G88" i="12"/>
  <c r="E63" i="20" s="1"/>
  <c r="G88" i="13"/>
  <c r="G88" i="14"/>
  <c r="E65" i="20" s="1"/>
  <c r="G88" i="15"/>
  <c r="E66" i="20" s="1"/>
  <c r="H88" i="5"/>
  <c r="F56" i="20" s="1"/>
  <c r="H88" i="6"/>
  <c r="F57" i="20" s="1"/>
  <c r="H88" i="7"/>
  <c r="F58" i="20" s="1"/>
  <c r="H88" i="8"/>
  <c r="F59" i="20" s="1"/>
  <c r="H88" i="9"/>
  <c r="F60" i="20" s="1"/>
  <c r="H88" i="10"/>
  <c r="F61" i="20" s="1"/>
  <c r="H88" i="11"/>
  <c r="F62" i="20" s="1"/>
  <c r="H88" i="12"/>
  <c r="H88" i="13"/>
  <c r="F64" i="20" s="1"/>
  <c r="H88" i="14"/>
  <c r="F65" i="20" s="1"/>
  <c r="H88" i="15"/>
  <c r="F66" i="20" s="1"/>
  <c r="I88" i="5"/>
  <c r="G56" i="20" s="1"/>
  <c r="I88" i="6"/>
  <c r="G57" i="20" s="1"/>
  <c r="I88" i="7"/>
  <c r="G58" i="20" s="1"/>
  <c r="I88" i="8"/>
  <c r="G59" i="20" s="1"/>
  <c r="I88" i="9"/>
  <c r="G60" i="20" s="1"/>
  <c r="I88" i="10"/>
  <c r="G61" i="20" s="1"/>
  <c r="I88" i="11"/>
  <c r="G62" i="20" s="1"/>
  <c r="I88" i="12"/>
  <c r="G63" i="20" s="1"/>
  <c r="I88" i="13"/>
  <c r="G64" i="20" s="1"/>
  <c r="I88" i="14"/>
  <c r="G65" i="20" s="1"/>
  <c r="I88" i="15"/>
  <c r="G66" i="20" s="1"/>
  <c r="J88" i="4"/>
  <c r="H55" i="20" s="1"/>
  <c r="J88" i="5"/>
  <c r="H56" i="20" s="1"/>
  <c r="J88" i="6"/>
  <c r="H57" i="20" s="1"/>
  <c r="J88" i="7"/>
  <c r="H58" i="20" s="1"/>
  <c r="J88" i="8"/>
  <c r="H59" i="20" s="1"/>
  <c r="J88" i="9"/>
  <c r="H60" i="20" s="1"/>
  <c r="J88" i="10"/>
  <c r="H61" i="20" s="1"/>
  <c r="J88" i="11"/>
  <c r="H62" i="20" s="1"/>
  <c r="J88" i="12"/>
  <c r="H63" i="20" s="1"/>
  <c r="J88" i="13"/>
  <c r="H64" i="20" s="1"/>
  <c r="J88" i="14"/>
  <c r="H65" i="20" s="1"/>
  <c r="J88" i="15"/>
  <c r="H66" i="20" s="1"/>
  <c r="K88" i="4"/>
  <c r="I55" i="20" s="1"/>
  <c r="K88" i="5"/>
  <c r="I56" i="20" s="1"/>
  <c r="K88" i="6"/>
  <c r="I57" i="20" s="1"/>
  <c r="K88" i="7"/>
  <c r="I58" i="20" s="1"/>
  <c r="K88" i="8"/>
  <c r="I59" i="20" s="1"/>
  <c r="K88" i="9"/>
  <c r="I60" i="20" s="1"/>
  <c r="K88" i="10"/>
  <c r="I61" i="20" s="1"/>
  <c r="K88" i="11"/>
  <c r="I62" i="20" s="1"/>
  <c r="K88" i="12"/>
  <c r="I63" i="20" s="1"/>
  <c r="K88" i="13"/>
  <c r="I64" i="20" s="1"/>
  <c r="K88" i="14"/>
  <c r="I65" i="20" s="1"/>
  <c r="K88" i="15"/>
  <c r="I66" i="20" s="1"/>
  <c r="L88" i="4"/>
  <c r="J55" i="20" s="1"/>
  <c r="L88" i="5"/>
  <c r="J56" i="20" s="1"/>
  <c r="L88" i="6"/>
  <c r="J57" i="20" s="1"/>
  <c r="L88" i="7"/>
  <c r="J58" i="20" s="1"/>
  <c r="L88" i="8"/>
  <c r="J59" i="20" s="1"/>
  <c r="L88" i="9"/>
  <c r="J60" i="20" s="1"/>
  <c r="L88" i="10"/>
  <c r="J61" i="20" s="1"/>
  <c r="L88" i="11"/>
  <c r="J62" i="20" s="1"/>
  <c r="L88" i="12"/>
  <c r="J63" i="20" s="1"/>
  <c r="L88" i="13"/>
  <c r="J64" i="20" s="1"/>
  <c r="L88" i="14"/>
  <c r="J65" i="20" s="1"/>
  <c r="L88" i="15"/>
  <c r="J66" i="20" s="1"/>
  <c r="M88" i="4"/>
  <c r="K55" i="20" s="1"/>
  <c r="M88" i="5"/>
  <c r="M88" i="6"/>
  <c r="K57" i="20" s="1"/>
  <c r="M88" i="7"/>
  <c r="M88" i="8"/>
  <c r="K59" i="20" s="1"/>
  <c r="M88" i="9"/>
  <c r="K60" i="20" s="1"/>
  <c r="M88" i="10"/>
  <c r="K61" i="20" s="1"/>
  <c r="M88" i="11"/>
  <c r="K62" i="20" s="1"/>
  <c r="M88" i="12"/>
  <c r="K63" i="20" s="1"/>
  <c r="M88" i="13"/>
  <c r="K64" i="20" s="1"/>
  <c r="M88" i="14"/>
  <c r="K65" i="20" s="1"/>
  <c r="M88" i="15"/>
  <c r="K66" i="20" s="1"/>
  <c r="N88" i="4"/>
  <c r="L55" i="20" s="1"/>
  <c r="N88" i="5"/>
  <c r="N88" i="6"/>
  <c r="L57" i="20" s="1"/>
  <c r="L68" i="20" s="1"/>
  <c r="N88" i="7"/>
  <c r="L58" i="20" s="1"/>
  <c r="N88" i="8"/>
  <c r="L59" i="20" s="1"/>
  <c r="N88" i="9"/>
  <c r="L60" i="20" s="1"/>
  <c r="N88" i="10"/>
  <c r="L61" i="20" s="1"/>
  <c r="N88" i="11"/>
  <c r="L62" i="20" s="1"/>
  <c r="N88" i="12"/>
  <c r="L63" i="20" s="1"/>
  <c r="N88" i="13"/>
  <c r="L64" i="20" s="1"/>
  <c r="N88" i="14"/>
  <c r="L65" i="20" s="1"/>
  <c r="N88" i="15"/>
  <c r="L66" i="20" s="1"/>
  <c r="O88" i="4"/>
  <c r="G29" i="16" s="1"/>
  <c r="O88" i="5"/>
  <c r="G30" i="16" s="1"/>
  <c r="O88" i="6"/>
  <c r="M57" i="20" s="1"/>
  <c r="O88" i="7"/>
  <c r="M58" i="20" s="1"/>
  <c r="O88" i="8"/>
  <c r="M59" i="20" s="1"/>
  <c r="O88" i="9"/>
  <c r="M60" i="20" s="1"/>
  <c r="O88" i="10"/>
  <c r="M61" i="20" s="1"/>
  <c r="O88" i="11"/>
  <c r="O88" i="12"/>
  <c r="O88" i="13"/>
  <c r="O88" i="14"/>
  <c r="O88" i="15"/>
  <c r="G31" i="19" s="1"/>
  <c r="I88" i="4"/>
  <c r="G55" i="20" s="1"/>
  <c r="H88" i="4"/>
  <c r="F55" i="20" s="1"/>
  <c r="O3" i="15"/>
  <c r="A19" i="20" s="1"/>
  <c r="M53" i="20"/>
  <c r="N72" i="5"/>
  <c r="N72" i="6" s="1"/>
  <c r="N72" i="7" s="1"/>
  <c r="N72" i="8" s="1"/>
  <c r="N72" i="9" s="1"/>
  <c r="N72" i="10" s="1"/>
  <c r="N72" i="11" s="1"/>
  <c r="N72" i="12" s="1"/>
  <c r="N72" i="13" s="1"/>
  <c r="N72" i="14" s="1"/>
  <c r="N72" i="15" s="1"/>
  <c r="L53" i="20" s="1"/>
  <c r="J72" i="5"/>
  <c r="J72" i="6" s="1"/>
  <c r="J72" i="7" s="1"/>
  <c r="J72" i="8" s="1"/>
  <c r="J72" i="9" s="1"/>
  <c r="J72" i="10" s="1"/>
  <c r="J72" i="11" s="1"/>
  <c r="J72" i="12" s="1"/>
  <c r="J72" i="13" s="1"/>
  <c r="J72" i="14" s="1"/>
  <c r="J72" i="15" s="1"/>
  <c r="H53" i="20" s="1"/>
  <c r="I72" i="5"/>
  <c r="I72" i="6" s="1"/>
  <c r="I72" i="7" s="1"/>
  <c r="I72" i="8" s="1"/>
  <c r="I72" i="9" s="1"/>
  <c r="I72" i="10" s="1"/>
  <c r="I72" i="11" s="1"/>
  <c r="I72" i="12" s="1"/>
  <c r="I72" i="13" s="1"/>
  <c r="I72" i="14" s="1"/>
  <c r="I72" i="15" s="1"/>
  <c r="G53" i="20" s="1"/>
  <c r="H72" i="5"/>
  <c r="H72" i="6"/>
  <c r="H72" i="7" s="1"/>
  <c r="H72" i="8" s="1"/>
  <c r="H72" i="9" s="1"/>
  <c r="H72" i="10" s="1"/>
  <c r="H72" i="11" s="1"/>
  <c r="H72" i="12" s="1"/>
  <c r="H72" i="13" s="1"/>
  <c r="H72" i="14" s="1"/>
  <c r="H72" i="15" s="1"/>
  <c r="F53" i="20" s="1"/>
  <c r="G72" i="5"/>
  <c r="G72" i="6" s="1"/>
  <c r="G72" i="7" s="1"/>
  <c r="G72" i="8" s="1"/>
  <c r="G72" i="9" s="1"/>
  <c r="G72" i="10" s="1"/>
  <c r="G72" i="11" s="1"/>
  <c r="G72" i="12" s="1"/>
  <c r="G72" i="13" s="1"/>
  <c r="G72" i="14" s="1"/>
  <c r="G72" i="15" s="1"/>
  <c r="E53" i="20" s="1"/>
  <c r="F72" i="5"/>
  <c r="F72" i="6"/>
  <c r="F72" i="7" s="1"/>
  <c r="F72" i="8" s="1"/>
  <c r="F72" i="9" s="1"/>
  <c r="F72" i="10" s="1"/>
  <c r="F72" i="11" s="1"/>
  <c r="F72" i="12" s="1"/>
  <c r="F72" i="13" s="1"/>
  <c r="F72" i="14" s="1"/>
  <c r="F72" i="15" s="1"/>
  <c r="D53" i="20" s="1"/>
  <c r="E72" i="5"/>
  <c r="E72" i="6"/>
  <c r="E72" i="7" s="1"/>
  <c r="E72" i="8" s="1"/>
  <c r="E72" i="9" s="1"/>
  <c r="E72" i="10" s="1"/>
  <c r="E72" i="11" s="1"/>
  <c r="E72" i="12" s="1"/>
  <c r="E72" i="13" s="1"/>
  <c r="E72" i="14" s="1"/>
  <c r="E72" i="15" s="1"/>
  <c r="C53" i="20" s="1"/>
  <c r="M30" i="20"/>
  <c r="N26" i="5"/>
  <c r="N26" i="6"/>
  <c r="N26" i="7" s="1"/>
  <c r="N26" i="8" s="1"/>
  <c r="N26" i="9" s="1"/>
  <c r="N26" i="10" s="1"/>
  <c r="N26" i="11" s="1"/>
  <c r="N26" i="12" s="1"/>
  <c r="N26" i="13" s="1"/>
  <c r="N26" i="14" s="1"/>
  <c r="N26" i="15" s="1"/>
  <c r="L30" i="20" s="1"/>
  <c r="K30" i="20"/>
  <c r="L26" i="5"/>
  <c r="L26" i="6"/>
  <c r="L26" i="7" s="1"/>
  <c r="L26" i="8" s="1"/>
  <c r="L26" i="9" s="1"/>
  <c r="L26" i="10" s="1"/>
  <c r="L26" i="11" s="1"/>
  <c r="L26" i="12" s="1"/>
  <c r="L26" i="13" s="1"/>
  <c r="L26" i="14" s="1"/>
  <c r="L26" i="15" s="1"/>
  <c r="J30" i="20" s="1"/>
  <c r="K26" i="5"/>
  <c r="K26" i="6" s="1"/>
  <c r="K26" i="7" s="1"/>
  <c r="K26" i="8" s="1"/>
  <c r="K26" i="9" s="1"/>
  <c r="K26" i="10" s="1"/>
  <c r="K26" i="11" s="1"/>
  <c r="K26" i="12" s="1"/>
  <c r="K26" i="13" s="1"/>
  <c r="K26" i="14" s="1"/>
  <c r="K26" i="15" s="1"/>
  <c r="I30" i="20" s="1"/>
  <c r="J26" i="5"/>
  <c r="J26" i="6" s="1"/>
  <c r="J26" i="7" s="1"/>
  <c r="J26" i="8" s="1"/>
  <c r="J26" i="9" s="1"/>
  <c r="J26" i="10" s="1"/>
  <c r="J26" i="11" s="1"/>
  <c r="J26" i="12" s="1"/>
  <c r="J26" i="13" s="1"/>
  <c r="J26" i="14" s="1"/>
  <c r="J26" i="15" s="1"/>
  <c r="H30" i="20" s="1"/>
  <c r="I26" i="5"/>
  <c r="I26" i="6"/>
  <c r="I26" i="7" s="1"/>
  <c r="I26" i="8" s="1"/>
  <c r="I26" i="9" s="1"/>
  <c r="I26" i="10" s="1"/>
  <c r="I26" i="11" s="1"/>
  <c r="I26" i="12" s="1"/>
  <c r="I26" i="13" s="1"/>
  <c r="I26" i="14" s="1"/>
  <c r="I26" i="15" s="1"/>
  <c r="G30" i="20" s="1"/>
  <c r="G26" i="5"/>
  <c r="G26" i="6" s="1"/>
  <c r="G26" i="7" s="1"/>
  <c r="G26" i="8" s="1"/>
  <c r="G26" i="9" s="1"/>
  <c r="G26" i="10" s="1"/>
  <c r="G26" i="11" s="1"/>
  <c r="G26" i="12" s="1"/>
  <c r="G26" i="13" s="1"/>
  <c r="G26" i="14" s="1"/>
  <c r="G26" i="15" s="1"/>
  <c r="E30" i="20" s="1"/>
  <c r="F26" i="5"/>
  <c r="F26" i="6"/>
  <c r="F26" i="7" s="1"/>
  <c r="F26" i="8" s="1"/>
  <c r="F26" i="9" s="1"/>
  <c r="F26" i="10" s="1"/>
  <c r="F26" i="11" s="1"/>
  <c r="F26" i="12" s="1"/>
  <c r="F26" i="13" s="1"/>
  <c r="F26" i="14" s="1"/>
  <c r="F26" i="15" s="1"/>
  <c r="D30" i="20" s="1"/>
  <c r="O5" i="5"/>
  <c r="O5" i="6" s="1"/>
  <c r="O5" i="7" s="1"/>
  <c r="O5" i="8" s="1"/>
  <c r="O5" i="9" s="1"/>
  <c r="O5" i="10" s="1"/>
  <c r="O5" i="11" s="1"/>
  <c r="O5" i="12" s="1"/>
  <c r="O5" i="13" s="1"/>
  <c r="O5" i="14" s="1"/>
  <c r="O5" i="15" s="1"/>
  <c r="M6" i="20" s="1"/>
  <c r="M5" i="5"/>
  <c r="M5" i="6" s="1"/>
  <c r="M5" i="7" s="1"/>
  <c r="M5" i="8" s="1"/>
  <c r="M5" i="9" s="1"/>
  <c r="M5" i="10" s="1"/>
  <c r="M5" i="11" s="1"/>
  <c r="M5" i="12" s="1"/>
  <c r="M5" i="13" s="1"/>
  <c r="M5" i="14" s="1"/>
  <c r="M5" i="15" s="1"/>
  <c r="K6" i="20" s="1"/>
  <c r="L5" i="5"/>
  <c r="L5" i="6" s="1"/>
  <c r="L5" i="7" s="1"/>
  <c r="L5" i="8" s="1"/>
  <c r="L5" i="9" s="1"/>
  <c r="L5" i="10" s="1"/>
  <c r="L5" i="11" s="1"/>
  <c r="L5" i="12" s="1"/>
  <c r="L5" i="13" s="1"/>
  <c r="L5" i="14" s="1"/>
  <c r="L5" i="15" s="1"/>
  <c r="J6" i="20" s="1"/>
  <c r="K5" i="5"/>
  <c r="K5" i="6" s="1"/>
  <c r="K5" i="7" s="1"/>
  <c r="K5" i="8" s="1"/>
  <c r="K5" i="9" s="1"/>
  <c r="K5" i="10" s="1"/>
  <c r="K5" i="11" s="1"/>
  <c r="K5" i="12" s="1"/>
  <c r="K5" i="13" s="1"/>
  <c r="K5" i="14" s="1"/>
  <c r="K5" i="15" s="1"/>
  <c r="I6" i="20" s="1"/>
  <c r="I5" i="5"/>
  <c r="I5" i="6" s="1"/>
  <c r="I5" i="7" s="1"/>
  <c r="I5" i="8" s="1"/>
  <c r="I5" i="9" s="1"/>
  <c r="I5" i="10" s="1"/>
  <c r="I5" i="11" s="1"/>
  <c r="I5" i="12" s="1"/>
  <c r="I5" i="13" s="1"/>
  <c r="I5" i="14" s="1"/>
  <c r="I5" i="15" s="1"/>
  <c r="G6" i="20" s="1"/>
  <c r="H5" i="5"/>
  <c r="H5" i="6" s="1"/>
  <c r="H5" i="7" s="1"/>
  <c r="H5" i="8" s="1"/>
  <c r="H5" i="9" s="1"/>
  <c r="H5" i="10" s="1"/>
  <c r="H5" i="11" s="1"/>
  <c r="H5" i="12" s="1"/>
  <c r="H5" i="13" s="1"/>
  <c r="H5" i="14" s="1"/>
  <c r="H5" i="15" s="1"/>
  <c r="F6" i="20" s="1"/>
  <c r="G5" i="5"/>
  <c r="G5" i="6" s="1"/>
  <c r="G5" i="7" s="1"/>
  <c r="G5" i="8" s="1"/>
  <c r="G5" i="9" s="1"/>
  <c r="G5" i="10" s="1"/>
  <c r="G5" i="11" s="1"/>
  <c r="G5" i="12" s="1"/>
  <c r="G5" i="13" s="1"/>
  <c r="G5" i="14" s="1"/>
  <c r="G5" i="15" s="1"/>
  <c r="E6" i="20" s="1"/>
  <c r="F5" i="5"/>
  <c r="F5" i="6" s="1"/>
  <c r="F5" i="7" s="1"/>
  <c r="F5" i="8" s="1"/>
  <c r="F5" i="9" s="1"/>
  <c r="F5" i="10" s="1"/>
  <c r="F5" i="11" s="1"/>
  <c r="F5" i="12" s="1"/>
  <c r="F5" i="13" s="1"/>
  <c r="F5" i="14" s="1"/>
  <c r="F5" i="15" s="1"/>
  <c r="D6" i="20" s="1"/>
  <c r="E5" i="5"/>
  <c r="E5" i="6" s="1"/>
  <c r="E5" i="7" s="1"/>
  <c r="E5" i="8" s="1"/>
  <c r="E5" i="9" s="1"/>
  <c r="E5" i="10" s="1"/>
  <c r="E5" i="11" s="1"/>
  <c r="E5" i="12" s="1"/>
  <c r="E5" i="13" s="1"/>
  <c r="E5" i="14" s="1"/>
  <c r="E5" i="15" s="1"/>
  <c r="C6" i="20" s="1"/>
  <c r="H26" i="5"/>
  <c r="H26" i="6"/>
  <c r="H26" i="7" s="1"/>
  <c r="H26" i="8" s="1"/>
  <c r="H26" i="9" s="1"/>
  <c r="H26" i="10" s="1"/>
  <c r="H26" i="11" s="1"/>
  <c r="H26" i="12" s="1"/>
  <c r="H26" i="13" s="1"/>
  <c r="H26" i="14" s="1"/>
  <c r="H26" i="15" s="1"/>
  <c r="F30" i="20" s="1"/>
  <c r="L72" i="5"/>
  <c r="L72" i="6" s="1"/>
  <c r="L72" i="7" s="1"/>
  <c r="L72" i="8" s="1"/>
  <c r="L72" i="9" s="1"/>
  <c r="L72" i="10" s="1"/>
  <c r="L72" i="11" s="1"/>
  <c r="L72" i="12" s="1"/>
  <c r="L72" i="13" s="1"/>
  <c r="L72" i="14" s="1"/>
  <c r="L72" i="15" s="1"/>
  <c r="J53" i="20" s="1"/>
  <c r="K72" i="5"/>
  <c r="K72" i="6" s="1"/>
  <c r="K72" i="7" s="1"/>
  <c r="K72" i="8" s="1"/>
  <c r="K72" i="9" s="1"/>
  <c r="K72" i="10" s="1"/>
  <c r="K72" i="11" s="1"/>
  <c r="K72" i="12" s="1"/>
  <c r="K72" i="13" s="1"/>
  <c r="K72" i="14" s="1"/>
  <c r="K72" i="15" s="1"/>
  <c r="I53" i="20" s="1"/>
  <c r="M72" i="5"/>
  <c r="M72" i="6" s="1"/>
  <c r="M72" i="7" s="1"/>
  <c r="M72" i="8" s="1"/>
  <c r="M72" i="9" s="1"/>
  <c r="M72" i="10" s="1"/>
  <c r="M72" i="11" s="1"/>
  <c r="M72" i="12" s="1"/>
  <c r="M72" i="13" s="1"/>
  <c r="M72" i="14" s="1"/>
  <c r="M72" i="15" s="1"/>
  <c r="K53" i="20" s="1"/>
  <c r="E26" i="5"/>
  <c r="E26" i="6" s="1"/>
  <c r="E26" i="7" s="1"/>
  <c r="E26" i="8" s="1"/>
  <c r="E26" i="9" s="1"/>
  <c r="E26" i="10" s="1"/>
  <c r="E26" i="11" s="1"/>
  <c r="E26" i="12" s="1"/>
  <c r="E26" i="13" s="1"/>
  <c r="E26" i="14" s="1"/>
  <c r="E26" i="15" s="1"/>
  <c r="C30" i="20" s="1"/>
  <c r="J5" i="5"/>
  <c r="J5" i="6" s="1"/>
  <c r="J5" i="7" s="1"/>
  <c r="J5" i="8" s="1"/>
  <c r="J5" i="9" s="1"/>
  <c r="J5" i="10" s="1"/>
  <c r="J5" i="11" s="1"/>
  <c r="J5" i="12" s="1"/>
  <c r="J5" i="13" s="1"/>
  <c r="J5" i="14" s="1"/>
  <c r="J5" i="15" s="1"/>
  <c r="H6" i="20" s="1"/>
  <c r="N5" i="5"/>
  <c r="N5" i="6"/>
  <c r="N5" i="7" s="1"/>
  <c r="N5" i="8" s="1"/>
  <c r="N5" i="9" s="1"/>
  <c r="N5" i="10" s="1"/>
  <c r="N5" i="11" s="1"/>
  <c r="N5" i="12" s="1"/>
  <c r="N5" i="13" s="1"/>
  <c r="N5" i="14" s="1"/>
  <c r="N5" i="15" s="1"/>
  <c r="L6" i="20" s="1"/>
  <c r="E61" i="4"/>
  <c r="E62" i="4"/>
  <c r="E67" i="4" s="1"/>
  <c r="E66" i="4"/>
  <c r="A1" i="4"/>
  <c r="N52" i="13"/>
  <c r="E61" i="13"/>
  <c r="E62" i="13" s="1"/>
  <c r="E67" i="13" s="1"/>
  <c r="E66" i="13"/>
  <c r="A1" i="13"/>
  <c r="N52" i="5"/>
  <c r="N52" i="6"/>
  <c r="N52" i="7"/>
  <c r="N52" i="8"/>
  <c r="N52" i="9"/>
  <c r="N52" i="10"/>
  <c r="N52" i="11"/>
  <c r="N52" i="12"/>
  <c r="E61" i="14"/>
  <c r="E62" i="14" s="1"/>
  <c r="E67" i="14" s="1"/>
  <c r="E66" i="14"/>
  <c r="A1" i="14"/>
  <c r="N52" i="15"/>
  <c r="E61" i="15"/>
  <c r="E62" i="15"/>
  <c r="E66" i="15"/>
  <c r="E67" i="15" s="1"/>
  <c r="A1" i="15"/>
  <c r="E61" i="5"/>
  <c r="E62" i="5" s="1"/>
  <c r="E67" i="5" s="1"/>
  <c r="E66" i="5"/>
  <c r="A1" i="5"/>
  <c r="E61" i="6"/>
  <c r="E62" i="6" s="1"/>
  <c r="E67" i="6" s="1"/>
  <c r="E66" i="6"/>
  <c r="A1" i="6"/>
  <c r="E61" i="7"/>
  <c r="E62" i="7" s="1"/>
  <c r="E66" i="7"/>
  <c r="A1" i="7"/>
  <c r="E61" i="8"/>
  <c r="E62" i="8" s="1"/>
  <c r="E66" i="8"/>
  <c r="A1" i="8"/>
  <c r="E61" i="9"/>
  <c r="E62" i="9" s="1"/>
  <c r="E67" i="9" s="1"/>
  <c r="E66" i="9"/>
  <c r="A1" i="9"/>
  <c r="E61" i="10"/>
  <c r="E62" i="10"/>
  <c r="E66" i="10"/>
  <c r="A1" i="10"/>
  <c r="E61" i="11"/>
  <c r="E62" i="11" s="1"/>
  <c r="E66" i="11"/>
  <c r="A1" i="11"/>
  <c r="E61" i="12"/>
  <c r="E62" i="12" s="1"/>
  <c r="E67" i="12" s="1"/>
  <c r="E66" i="12"/>
  <c r="A1" i="12"/>
  <c r="A1" i="16"/>
  <c r="A1" i="17"/>
  <c r="A1" i="18"/>
  <c r="A1" i="19"/>
  <c r="J21" i="20" l="1"/>
  <c r="H21" i="20"/>
  <c r="A43" i="20"/>
  <c r="L45" i="20"/>
  <c r="D19" i="11"/>
  <c r="D21" i="11" s="1"/>
  <c r="E21" i="11" s="1"/>
  <c r="D42" i="11"/>
  <c r="D42" i="10"/>
  <c r="B38" i="20" s="1"/>
  <c r="G31" i="17"/>
  <c r="D42" i="4"/>
  <c r="E52" i="4" s="1"/>
  <c r="D88" i="10"/>
  <c r="B61" i="20" s="1"/>
  <c r="E14" i="16"/>
  <c r="G30" i="17"/>
  <c r="E67" i="8"/>
  <c r="O24" i="15"/>
  <c r="D19" i="13"/>
  <c r="B17" i="20" s="1"/>
  <c r="E13" i="16"/>
  <c r="G29" i="17"/>
  <c r="O70" i="15"/>
  <c r="N52" i="4"/>
  <c r="D19" i="4"/>
  <c r="E50" i="4" s="1"/>
  <c r="E51" i="4" s="1"/>
  <c r="B27" i="19"/>
  <c r="O3" i="14"/>
  <c r="D42" i="15"/>
  <c r="B43" i="20" s="1"/>
  <c r="E16" i="16"/>
  <c r="G27" i="18"/>
  <c r="E11" i="20"/>
  <c r="D19" i="14"/>
  <c r="B18" i="20" s="1"/>
  <c r="D88" i="15"/>
  <c r="G14" i="16"/>
  <c r="K45" i="20"/>
  <c r="E67" i="11"/>
  <c r="N52" i="14"/>
  <c r="B31" i="19"/>
  <c r="E67" i="7"/>
  <c r="D88" i="14"/>
  <c r="B65" i="20" s="1"/>
  <c r="G26" i="18"/>
  <c r="E12" i="18"/>
  <c r="D19" i="10"/>
  <c r="D19" i="9"/>
  <c r="G14" i="19"/>
  <c r="D5" i="19"/>
  <c r="E67" i="10"/>
  <c r="D42" i="6"/>
  <c r="D44" i="6" s="1"/>
  <c r="E44" i="6" s="1"/>
  <c r="G26" i="19"/>
  <c r="M66" i="20"/>
  <c r="G21" i="17"/>
  <c r="G43" i="17" s="1"/>
  <c r="G48" i="17" s="1"/>
  <c r="G25" i="19"/>
  <c r="M43" i="20"/>
  <c r="M56" i="20"/>
  <c r="B14" i="19"/>
  <c r="E12" i="17"/>
  <c r="M55" i="20"/>
  <c r="F47" i="15"/>
  <c r="O47" i="15" s="1"/>
  <c r="B39" i="20"/>
  <c r="E52" i="11"/>
  <c r="D44" i="11"/>
  <c r="E44" i="11" s="1"/>
  <c r="D21" i="14"/>
  <c r="E21" i="14" s="1"/>
  <c r="D44" i="15"/>
  <c r="E44" i="15" s="1"/>
  <c r="E52" i="15"/>
  <c r="D21" i="10"/>
  <c r="E21" i="10" s="1"/>
  <c r="E50" i="10"/>
  <c r="B14" i="20"/>
  <c r="B34" i="20"/>
  <c r="D42" i="12"/>
  <c r="D21" i="6"/>
  <c r="E21" i="6" s="1"/>
  <c r="B10" i="20"/>
  <c r="E68" i="20"/>
  <c r="D68" i="20"/>
  <c r="C68" i="20"/>
  <c r="I45" i="20"/>
  <c r="H45" i="20"/>
  <c r="G45" i="20"/>
  <c r="F45" i="20"/>
  <c r="E45" i="20"/>
  <c r="D45" i="20"/>
  <c r="C45" i="20"/>
  <c r="M21" i="20"/>
  <c r="L21" i="20"/>
  <c r="K21" i="20"/>
  <c r="G21" i="20"/>
  <c r="F21" i="20"/>
  <c r="D19" i="12"/>
  <c r="D88" i="6"/>
  <c r="F68" i="20"/>
  <c r="G68" i="20"/>
  <c r="K68" i="20"/>
  <c r="J68" i="20"/>
  <c r="I68" i="20"/>
  <c r="H68" i="20"/>
  <c r="B8" i="20"/>
  <c r="D21" i="4"/>
  <c r="E21" i="4" s="1"/>
  <c r="D88" i="11"/>
  <c r="D44" i="10"/>
  <c r="E44" i="10" s="1"/>
  <c r="N54" i="5"/>
  <c r="D19" i="15"/>
  <c r="B32" i="20"/>
  <c r="B15" i="20"/>
  <c r="C14" i="20"/>
  <c r="G56" i="16"/>
  <c r="G30" i="19"/>
  <c r="M65" i="20"/>
  <c r="E13" i="18"/>
  <c r="D19" i="5"/>
  <c r="D42" i="14"/>
  <c r="D88" i="9"/>
  <c r="D88" i="8"/>
  <c r="D88" i="4"/>
  <c r="D21" i="20"/>
  <c r="G29" i="19"/>
  <c r="M64" i="20"/>
  <c r="E15" i="20"/>
  <c r="E21" i="20" s="1"/>
  <c r="G13" i="18"/>
  <c r="E50" i="11"/>
  <c r="E50" i="6"/>
  <c r="G31" i="18"/>
  <c r="M63" i="20"/>
  <c r="M38" i="20"/>
  <c r="G25" i="18"/>
  <c r="E14" i="20"/>
  <c r="G12" i="18"/>
  <c r="E14" i="17"/>
  <c r="D19" i="7"/>
  <c r="D42" i="9"/>
  <c r="G30" i="18"/>
  <c r="M62" i="20"/>
  <c r="M68" i="20" s="1"/>
  <c r="M37" i="20"/>
  <c r="G27" i="17"/>
  <c r="E13" i="17"/>
  <c r="C12" i="20"/>
  <c r="D88" i="13"/>
  <c r="D88" i="12"/>
  <c r="G14" i="18"/>
  <c r="D21" i="13"/>
  <c r="E21" i="13" s="1"/>
  <c r="M36" i="20"/>
  <c r="G26" i="17"/>
  <c r="D19" i="8"/>
  <c r="D42" i="8"/>
  <c r="E13" i="20"/>
  <c r="B13" i="19"/>
  <c r="D90" i="5"/>
  <c r="E90" i="5" s="1"/>
  <c r="E52" i="10"/>
  <c r="F47" i="14"/>
  <c r="O47" i="14" s="1"/>
  <c r="A42" i="20"/>
  <c r="D42" i="13"/>
  <c r="D42" i="7"/>
  <c r="G29" i="18"/>
  <c r="D42" i="5"/>
  <c r="D88" i="7"/>
  <c r="D21" i="9"/>
  <c r="E21" i="9" s="1"/>
  <c r="G31" i="16"/>
  <c r="A66" i="20"/>
  <c r="G13" i="16"/>
  <c r="G13" i="19"/>
  <c r="C11" i="20"/>
  <c r="G12" i="16"/>
  <c r="G12" i="19"/>
  <c r="G25" i="17"/>
  <c r="C10" i="20"/>
  <c r="M28" i="20"/>
  <c r="E14" i="18"/>
  <c r="E16" i="18" s="1"/>
  <c r="G27" i="16"/>
  <c r="C9" i="20"/>
  <c r="C21" i="20" s="1"/>
  <c r="E14" i="19"/>
  <c r="G26" i="16"/>
  <c r="E13" i="19"/>
  <c r="G25" i="16"/>
  <c r="E12" i="19"/>
  <c r="M45" i="20" l="1"/>
  <c r="A18" i="20"/>
  <c r="O24" i="14"/>
  <c r="O3" i="13"/>
  <c r="B26" i="19"/>
  <c r="N54" i="14"/>
  <c r="D90" i="10"/>
  <c r="E90" i="10" s="1"/>
  <c r="E53" i="4"/>
  <c r="E49" i="5" s="1"/>
  <c r="B30" i="19"/>
  <c r="D90" i="14"/>
  <c r="E90" i="14" s="1"/>
  <c r="N54" i="10"/>
  <c r="O70" i="14"/>
  <c r="G21" i="19"/>
  <c r="G43" i="19" s="1"/>
  <c r="G48" i="19" s="1"/>
  <c r="G53" i="19" s="1"/>
  <c r="E25" i="20"/>
  <c r="E16" i="17"/>
  <c r="I16" i="17" s="1"/>
  <c r="I19" i="17" s="1"/>
  <c r="B66" i="20"/>
  <c r="D90" i="15"/>
  <c r="E90" i="15" s="1"/>
  <c r="N54" i="15"/>
  <c r="A65" i="20"/>
  <c r="G21" i="18"/>
  <c r="I16" i="18" s="1"/>
  <c r="I19" i="18" s="1"/>
  <c r="G34" i="19"/>
  <c r="G50" i="19" s="1"/>
  <c r="G59" i="19" s="1"/>
  <c r="B13" i="20"/>
  <c r="E50" i="9"/>
  <c r="E50" i="13"/>
  <c r="E52" i="6"/>
  <c r="E50" i="14"/>
  <c r="D44" i="4"/>
  <c r="E44" i="4" s="1"/>
  <c r="G56" i="18"/>
  <c r="G34" i="18"/>
  <c r="G50" i="18" s="1"/>
  <c r="G59" i="18" s="1"/>
  <c r="B64" i="20"/>
  <c r="N54" i="13"/>
  <c r="D90" i="13"/>
  <c r="E90" i="13" s="1"/>
  <c r="B33" i="20"/>
  <c r="B45" i="20" s="1"/>
  <c r="E52" i="5"/>
  <c r="D44" i="5"/>
  <c r="E44" i="5" s="1"/>
  <c r="D21" i="8"/>
  <c r="E21" i="8" s="1"/>
  <c r="B12" i="20"/>
  <c r="E50" i="8"/>
  <c r="B59" i="20"/>
  <c r="D90" i="8"/>
  <c r="E90" i="8" s="1"/>
  <c r="N54" i="8"/>
  <c r="B19" i="20"/>
  <c r="D21" i="15"/>
  <c r="E21" i="15" s="1"/>
  <c r="E50" i="15"/>
  <c r="G36" i="18"/>
  <c r="G43" i="18"/>
  <c r="G48" i="18" s="1"/>
  <c r="G53" i="18" s="1"/>
  <c r="B60" i="20"/>
  <c r="N54" i="9"/>
  <c r="D90" i="9"/>
  <c r="E90" i="9" s="1"/>
  <c r="B36" i="20"/>
  <c r="E52" i="8"/>
  <c r="D44" i="8"/>
  <c r="E44" i="8" s="1"/>
  <c r="B35" i="20"/>
  <c r="D44" i="7"/>
  <c r="E44" i="7" s="1"/>
  <c r="E52" i="7"/>
  <c r="A64" i="20"/>
  <c r="F47" i="13"/>
  <c r="O47" i="13" s="1"/>
  <c r="O3" i="12"/>
  <c r="O70" i="13"/>
  <c r="B29" i="19"/>
  <c r="O24" i="13"/>
  <c r="B25" i="19"/>
  <c r="A41" i="20"/>
  <c r="B12" i="19"/>
  <c r="B5" i="19"/>
  <c r="A17" i="20"/>
  <c r="E52" i="14"/>
  <c r="D44" i="14"/>
  <c r="E44" i="14" s="1"/>
  <c r="B42" i="20"/>
  <c r="E52" i="12"/>
  <c r="B40" i="20"/>
  <c r="D44" i="12"/>
  <c r="E44" i="12" s="1"/>
  <c r="G34" i="17"/>
  <c r="E16" i="19"/>
  <c r="G21" i="16"/>
  <c r="B41" i="20"/>
  <c r="E52" i="13"/>
  <c r="D44" i="13"/>
  <c r="E44" i="13" s="1"/>
  <c r="B9" i="20"/>
  <c r="B21" i="20" s="1"/>
  <c r="C25" i="20" s="1"/>
  <c r="D26" i="20" s="1"/>
  <c r="E50" i="5"/>
  <c r="E51" i="5" s="1"/>
  <c r="E53" i="5" s="1"/>
  <c r="E49" i="6" s="1"/>
  <c r="E51" i="6" s="1"/>
  <c r="E53" i="6" s="1"/>
  <c r="E49" i="7" s="1"/>
  <c r="E51" i="7" s="1"/>
  <c r="E53" i="7" s="1"/>
  <c r="E49" i="8" s="1"/>
  <c r="E51" i="8" s="1"/>
  <c r="E53" i="8" s="1"/>
  <c r="E49" i="9" s="1"/>
  <c r="E51" i="9" s="1"/>
  <c r="E53" i="9" s="1"/>
  <c r="E49" i="10" s="1"/>
  <c r="E51" i="10" s="1"/>
  <c r="E53" i="10" s="1"/>
  <c r="E49" i="11" s="1"/>
  <c r="E51" i="11" s="1"/>
  <c r="E53" i="11" s="1"/>
  <c r="E49" i="12" s="1"/>
  <c r="E51" i="12" s="1"/>
  <c r="E53" i="12" s="1"/>
  <c r="E49" i="13" s="1"/>
  <c r="E51" i="13" s="1"/>
  <c r="E53" i="13" s="1"/>
  <c r="E49" i="14" s="1"/>
  <c r="E51" i="14" s="1"/>
  <c r="E53" i="14" s="1"/>
  <c r="E49" i="15" s="1"/>
  <c r="E51" i="15" s="1"/>
  <c r="E53" i="15" s="1"/>
  <c r="D21" i="5"/>
  <c r="E21" i="5" s="1"/>
  <c r="B58" i="20"/>
  <c r="D90" i="7"/>
  <c r="E90" i="7" s="1"/>
  <c r="N54" i="7"/>
  <c r="B37" i="20"/>
  <c r="E52" i="9"/>
  <c r="D44" i="9"/>
  <c r="E44" i="9" s="1"/>
  <c r="B57" i="20"/>
  <c r="D90" i="6"/>
  <c r="E90" i="6" s="1"/>
  <c r="N54" i="6"/>
  <c r="B63" i="20"/>
  <c r="D90" i="12"/>
  <c r="E90" i="12" s="1"/>
  <c r="N54" i="12"/>
  <c r="D90" i="4"/>
  <c r="E90" i="4" s="1"/>
  <c r="N54" i="4"/>
  <c r="N56" i="4" s="1"/>
  <c r="N50" i="5" s="1"/>
  <c r="N56" i="5" s="1"/>
  <c r="N50" i="6" s="1"/>
  <c r="B55" i="20"/>
  <c r="G34" i="16"/>
  <c r="G50" i="16" s="1"/>
  <c r="G59" i="16" s="1"/>
  <c r="D21" i="7"/>
  <c r="E21" i="7" s="1"/>
  <c r="B11" i="20"/>
  <c r="E50" i="7"/>
  <c r="B62" i="20"/>
  <c r="D90" i="11"/>
  <c r="E90" i="11" s="1"/>
  <c r="N54" i="11"/>
  <c r="D21" i="12"/>
  <c r="E21" i="12" s="1"/>
  <c r="B16" i="20"/>
  <c r="E50" i="12"/>
  <c r="C48" i="20" l="1"/>
  <c r="D49" i="20" s="1"/>
  <c r="G36" i="19"/>
  <c r="G56" i="17"/>
  <c r="G36" i="16"/>
  <c r="G43" i="16"/>
  <c r="G48" i="16" s="1"/>
  <c r="G53" i="16" s="1"/>
  <c r="I16" i="16"/>
  <c r="I19" i="16" s="1"/>
  <c r="G56" i="19"/>
  <c r="I16" i="19"/>
  <c r="I19" i="19" s="1"/>
  <c r="B68" i="20"/>
  <c r="C71" i="20" s="1"/>
  <c r="D72" i="20" s="1"/>
  <c r="G50" i="17"/>
  <c r="G36" i="17"/>
  <c r="I21" i="17"/>
  <c r="I43" i="17" s="1"/>
  <c r="I48" i="17" s="1"/>
  <c r="I53" i="17" s="1"/>
  <c r="I56" i="17"/>
  <c r="N56" i="6"/>
  <c r="N50" i="7" s="1"/>
  <c r="N56" i="7" s="1"/>
  <c r="N50" i="8" s="1"/>
  <c r="N56" i="8" s="1"/>
  <c r="N50" i="9" s="1"/>
  <c r="N56" i="9" s="1"/>
  <c r="N50" i="10" s="1"/>
  <c r="N56" i="10" s="1"/>
  <c r="N50" i="11" s="1"/>
  <c r="N56" i="11" s="1"/>
  <c r="N50" i="12" s="1"/>
  <c r="N56" i="12" s="1"/>
  <c r="N50" i="13" s="1"/>
  <c r="N56" i="13" s="1"/>
  <c r="N50" i="14" s="1"/>
  <c r="N56" i="14" s="1"/>
  <c r="N50" i="15" s="1"/>
  <c r="N56" i="15" s="1"/>
  <c r="B14" i="18"/>
  <c r="B27" i="18"/>
  <c r="B31" i="18"/>
  <c r="A16" i="20"/>
  <c r="D5" i="18"/>
  <c r="A40" i="20"/>
  <c r="A63" i="20"/>
  <c r="F47" i="12"/>
  <c r="O47" i="12" s="1"/>
  <c r="O3" i="11"/>
  <c r="O70" i="12"/>
  <c r="O24" i="12"/>
  <c r="I56" i="18"/>
  <c r="I21" i="18"/>
  <c r="I43" i="18" s="1"/>
  <c r="I48" i="18" s="1"/>
  <c r="I53" i="18" s="1"/>
  <c r="I56" i="19" l="1"/>
  <c r="I21" i="19"/>
  <c r="I43" i="19" s="1"/>
  <c r="I48" i="19" s="1"/>
  <c r="I53" i="19" s="1"/>
  <c r="I56" i="16"/>
  <c r="I21" i="16"/>
  <c r="I43" i="16" s="1"/>
  <c r="I48" i="16" s="1"/>
  <c r="I53" i="16" s="1"/>
  <c r="A15" i="20"/>
  <c r="A39" i="20"/>
  <c r="A62" i="20"/>
  <c r="O3" i="10"/>
  <c r="B13" i="18"/>
  <c r="F47" i="11"/>
  <c r="O47" i="11" s="1"/>
  <c r="B26" i="18"/>
  <c r="B30" i="18"/>
  <c r="O70" i="11"/>
  <c r="O24" i="11"/>
  <c r="G59" i="17"/>
  <c r="G53" i="17"/>
  <c r="O70" i="10" l="1"/>
  <c r="O24" i="10"/>
  <c r="A14" i="20"/>
  <c r="F47" i="10"/>
  <c r="O47" i="10" s="1"/>
  <c r="B29" i="18"/>
  <c r="A38" i="20"/>
  <c r="B5" i="18"/>
  <c r="A61" i="20"/>
  <c r="O3" i="9"/>
  <c r="B12" i="18"/>
  <c r="B25" i="18"/>
  <c r="O70" i="9" l="1"/>
  <c r="F47" i="9"/>
  <c r="O47" i="9" s="1"/>
  <c r="B14" i="17"/>
  <c r="O3" i="8"/>
  <c r="O24" i="9"/>
  <c r="D5" i="17"/>
  <c r="B31" i="17"/>
  <c r="B27" i="17"/>
  <c r="A37" i="20"/>
  <c r="A13" i="20"/>
  <c r="A60" i="20"/>
  <c r="A12" i="20" l="1"/>
  <c r="A36" i="20"/>
  <c r="F47" i="8"/>
  <c r="O47" i="8" s="1"/>
  <c r="A59" i="20"/>
  <c r="O3" i="7"/>
  <c r="O70" i="8"/>
  <c r="O24" i="8"/>
  <c r="B30" i="17"/>
  <c r="B13" i="17"/>
  <c r="B26" i="17"/>
  <c r="B5" i="17" l="1"/>
  <c r="O24" i="7"/>
  <c r="B29" i="17"/>
  <c r="O70" i="7"/>
  <c r="B25" i="17"/>
  <c r="A11" i="20"/>
  <c r="F47" i="7"/>
  <c r="O47" i="7" s="1"/>
  <c r="B12" i="17"/>
  <c r="A35" i="20"/>
  <c r="A58" i="20"/>
  <c r="O3" i="6"/>
  <c r="D5" i="16" l="1"/>
  <c r="B31" i="16"/>
  <c r="F47" i="6"/>
  <c r="O47" i="6" s="1"/>
  <c r="O3" i="5"/>
  <c r="O70" i="6"/>
  <c r="A10" i="20"/>
  <c r="O24" i="6"/>
  <c r="A34" i="20"/>
  <c r="B27" i="16"/>
  <c r="A57" i="20"/>
  <c r="B14" i="16"/>
  <c r="A9" i="20" l="1"/>
  <c r="A33" i="20"/>
  <c r="A56" i="20"/>
  <c r="B13" i="16"/>
  <c r="O3" i="4"/>
  <c r="B26" i="16"/>
  <c r="B30" i="16"/>
  <c r="O24" i="5"/>
  <c r="O70" i="5"/>
  <c r="F47" i="5"/>
  <c r="O47" i="5" s="1"/>
  <c r="O70" i="4" l="1"/>
  <c r="A8" i="20"/>
  <c r="B12" i="16"/>
  <c r="A32" i="20"/>
  <c r="A55" i="20"/>
  <c r="B25" i="16"/>
  <c r="F47" i="4"/>
  <c r="O47" i="4" s="1"/>
  <c r="B29" i="16"/>
  <c r="B5" i="16"/>
  <c r="O24" i="4"/>
</calcChain>
</file>

<file path=xl/sharedStrings.xml><?xml version="1.0" encoding="utf-8"?>
<sst xmlns="http://schemas.openxmlformats.org/spreadsheetml/2006/main" count="1125" uniqueCount="209">
  <si>
    <t>NYMAN LINDEN</t>
  </si>
  <si>
    <t>CHARTERED ACCOUNTANTS</t>
  </si>
  <si>
    <t>Tel: 020 7535 1500</t>
  </si>
  <si>
    <t>Email: info@nymanlinden.co.uk</t>
  </si>
  <si>
    <t>PROCEDURE</t>
  </si>
  <si>
    <t>Company info sheet</t>
  </si>
  <si>
    <t>Complete Company information</t>
  </si>
  <si>
    <t xml:space="preserve">Enter cheques when paid directly into the appropriate column. </t>
  </si>
  <si>
    <t>VAT Summary</t>
  </si>
  <si>
    <t>BANK RECEIPTS</t>
  </si>
  <si>
    <t>MONTH:</t>
  </si>
  <si>
    <t xml:space="preserve"> </t>
  </si>
  <si>
    <t>Date</t>
  </si>
  <si>
    <t>Total Bankings</t>
  </si>
  <si>
    <t>Net Sales</t>
  </si>
  <si>
    <t>VAT</t>
  </si>
  <si>
    <t>Sundries</t>
  </si>
  <si>
    <t>TOTAL</t>
  </si>
  <si>
    <t>A</t>
  </si>
  <si>
    <t>E</t>
  </si>
  <si>
    <t>F</t>
  </si>
  <si>
    <t>BANK PAYMENTS</t>
  </si>
  <si>
    <t>Company Pension</t>
  </si>
  <si>
    <t>Motor &amp; Travel</t>
  </si>
  <si>
    <t>Standing Orders</t>
  </si>
  <si>
    <t>Petty Cash</t>
  </si>
  <si>
    <t>B</t>
  </si>
  <si>
    <t>G</t>
  </si>
  <si>
    <t>BANK SUMMARY</t>
  </si>
  <si>
    <t>Balance B/Fwd from last month</t>
  </si>
  <si>
    <t>Paid into bank during month</t>
  </si>
  <si>
    <t>Balance C/Fwd to next month</t>
  </si>
  <si>
    <t>*</t>
  </si>
  <si>
    <t>BANK RECONCILIATION</t>
  </si>
  <si>
    <t>Balance from bank statement at end of month</t>
  </si>
  <si>
    <t>ADD: Bankings not yet cleared</t>
  </si>
  <si>
    <t>LESS: Payments not yet cleared</t>
  </si>
  <si>
    <t>Balance as above</t>
  </si>
  <si>
    <t>PETTY CASH</t>
  </si>
  <si>
    <t>Subsist Accom</t>
  </si>
  <si>
    <t>Software &amp; Materials</t>
  </si>
  <si>
    <t>H</t>
  </si>
  <si>
    <t>PERIOD:-</t>
  </si>
  <si>
    <t>Flat Rate</t>
  </si>
  <si>
    <t>Scheme</t>
  </si>
  <si>
    <t>NET</t>
  </si>
  <si>
    <t>OUTPUT/SALES:</t>
  </si>
  <si>
    <t>Month 1</t>
  </si>
  <si>
    <t>Month 2</t>
  </si>
  <si>
    <t>Month 3</t>
  </si>
  <si>
    <t>(i)</t>
  </si>
  <si>
    <t>INPUT/EXPENSES:</t>
  </si>
  <si>
    <t>(ii)</t>
  </si>
  <si>
    <t>NET VAT PAYABLE</t>
  </si>
  <si>
    <t>(i) Less (ii)</t>
  </si>
  <si>
    <t>YEAR END SUMMARY</t>
  </si>
  <si>
    <t>Month</t>
  </si>
  <si>
    <t>Mobile &amp; Telephone</t>
  </si>
  <si>
    <t>Dividends</t>
  </si>
  <si>
    <t>Paid out of bank during month</t>
  </si>
  <si>
    <t>After completing the entries on this reconciliation, the Balance * should equal the Balance * on your Bank Summary for the month.</t>
  </si>
  <si>
    <t>Expenses Reimbursed</t>
  </si>
  <si>
    <t>Interest Received</t>
  </si>
  <si>
    <t>Total Paid</t>
  </si>
  <si>
    <t>Total</t>
  </si>
  <si>
    <t>PAYE/NI</t>
  </si>
  <si>
    <t>Net Wages</t>
  </si>
  <si>
    <t>Print, Post Stationery</t>
  </si>
  <si>
    <t>Chq No</t>
  </si>
  <si>
    <t>YEAR END</t>
  </si>
  <si>
    <t xml:space="preserve">CROSS CHECK </t>
  </si>
  <si>
    <t>Cross Check</t>
  </si>
  <si>
    <t xml:space="preserve">          Bank Receipts</t>
  </si>
  <si>
    <t xml:space="preserve">          Bank Payments</t>
  </si>
  <si>
    <t xml:space="preserve">          Petty Cash Expenses</t>
  </si>
  <si>
    <t>Each quarter there is a VAT Summary.</t>
  </si>
  <si>
    <t>Bank Receipts</t>
  </si>
  <si>
    <t>Bank Payments</t>
  </si>
  <si>
    <t>Bank Summary and Bank Reconciliation</t>
  </si>
  <si>
    <t>Company Dep A/C</t>
  </si>
  <si>
    <t>VAT CHECK</t>
  </si>
  <si>
    <t>Address 1:</t>
  </si>
  <si>
    <t>Address 2:</t>
  </si>
  <si>
    <t>Address 3:</t>
  </si>
  <si>
    <t>Address 4:</t>
  </si>
  <si>
    <t>Post Code:</t>
  </si>
  <si>
    <t>Company Name:</t>
  </si>
  <si>
    <t xml:space="preserve">001  </t>
  </si>
  <si>
    <t xml:space="preserve">          Bank Summary and Bank Reconciliation</t>
  </si>
  <si>
    <t>VAT WORKINGS</t>
  </si>
  <si>
    <t>VAT RETURN</t>
  </si>
  <si>
    <r>
      <t xml:space="preserve">VAT due in this period on </t>
    </r>
    <r>
      <rPr>
        <b/>
        <sz val="10"/>
        <rFont val="Arial"/>
        <family val="2"/>
      </rPr>
      <t>sales</t>
    </r>
    <r>
      <rPr>
        <sz val="10"/>
        <rFont val="Arial"/>
        <family val="2"/>
      </rPr>
      <t xml:space="preserve"> and other outputs</t>
    </r>
  </si>
  <si>
    <r>
      <t xml:space="preserve">VAT due in this period on </t>
    </r>
    <r>
      <rPr>
        <b/>
        <sz val="10"/>
        <rFont val="Arial"/>
        <family val="2"/>
      </rPr>
      <t>sales</t>
    </r>
    <r>
      <rPr>
        <sz val="10"/>
        <rFont val="Arial"/>
        <family val="2"/>
      </rPr>
      <t xml:space="preserve"> and other outputs</t>
    </r>
  </si>
  <si>
    <r>
      <t>Total VAT due (</t>
    </r>
    <r>
      <rPr>
        <b/>
        <sz val="10"/>
        <rFont val="Arial"/>
        <family val="2"/>
      </rPr>
      <t>the sum of box 1 and 2</t>
    </r>
    <r>
      <rPr>
        <sz val="10"/>
        <rFont val="Arial"/>
        <family val="2"/>
      </rPr>
      <t>)</t>
    </r>
  </si>
  <si>
    <r>
      <t>Total VAT due (</t>
    </r>
    <r>
      <rPr>
        <b/>
        <sz val="10"/>
        <rFont val="Arial"/>
        <family val="2"/>
      </rPr>
      <t>the sum of box 1 and 2</t>
    </r>
    <r>
      <rPr>
        <sz val="10"/>
        <rFont val="Arial"/>
        <family val="2"/>
      </rPr>
      <t>)</t>
    </r>
  </si>
  <si>
    <t>Cash Book</t>
  </si>
  <si>
    <r>
      <t xml:space="preserve">VAT due in this period on </t>
    </r>
    <r>
      <rPr>
        <b/>
        <sz val="10"/>
        <rFont val="Arial"/>
        <family val="2"/>
      </rPr>
      <t>acquisitions</t>
    </r>
    <r>
      <rPr>
        <sz val="10"/>
        <rFont val="Arial"/>
        <family val="2"/>
      </rPr>
      <t xml:space="preserve"> from other </t>
    </r>
  </si>
  <si>
    <r>
      <t xml:space="preserve">VAT due in this period on </t>
    </r>
    <r>
      <rPr>
        <b/>
        <sz val="10"/>
        <rFont val="Arial"/>
        <family val="2"/>
      </rPr>
      <t>acquisitions</t>
    </r>
    <r>
      <rPr>
        <sz val="10"/>
        <rFont val="Arial"/>
        <family val="2"/>
      </rPr>
      <t xml:space="preserve"> from other </t>
    </r>
  </si>
  <si>
    <t>EC Member States</t>
  </si>
  <si>
    <r>
      <t xml:space="preserve">VAT reclaimed in the period on </t>
    </r>
    <r>
      <rPr>
        <b/>
        <sz val="10"/>
        <rFont val="Arial"/>
        <family val="2"/>
      </rPr>
      <t>purchases</t>
    </r>
    <r>
      <rPr>
        <sz val="10"/>
        <rFont val="Arial"/>
        <family val="2"/>
      </rPr>
      <t xml:space="preserve"> and other </t>
    </r>
  </si>
  <si>
    <t>inputs (including acquisitions from the EC)</t>
  </si>
  <si>
    <t xml:space="preserve">Net VAT to be paid to Customs or reclaimed by you </t>
  </si>
  <si>
    <t>(Difference between boxes 3 and 4)</t>
  </si>
  <si>
    <t xml:space="preserve">Total Value of Sales and all other outputs excluding </t>
  </si>
  <si>
    <t>any VAT. Include your box 8 figure</t>
  </si>
  <si>
    <t>Total Value of purchases and all other inputs</t>
  </si>
  <si>
    <t>services, excluding any VAT, to other EC Member States</t>
  </si>
  <si>
    <t>excluding any VAT, to other EC Member States</t>
  </si>
  <si>
    <r>
      <t xml:space="preserve">Total Value of all </t>
    </r>
    <r>
      <rPr>
        <b/>
        <sz val="10"/>
        <rFont val="Arial"/>
        <family val="2"/>
      </rPr>
      <t>supplies</t>
    </r>
    <r>
      <rPr>
        <sz val="10"/>
        <rFont val="Arial"/>
        <family val="2"/>
      </rPr>
      <t xml:space="preserve"> of goods &amp; related services,</t>
    </r>
  </si>
  <si>
    <r>
      <t xml:space="preserve">Total Value of all </t>
    </r>
    <r>
      <rPr>
        <b/>
        <sz val="10"/>
        <rFont val="Arial"/>
        <family val="2"/>
      </rPr>
      <t>acquisitions</t>
    </r>
    <r>
      <rPr>
        <sz val="10"/>
        <rFont val="Arial"/>
        <family val="2"/>
      </rPr>
      <t xml:space="preserve"> of goods and related </t>
    </r>
  </si>
  <si>
    <t>to</t>
  </si>
  <si>
    <t>Standard</t>
  </si>
  <si>
    <t>Method</t>
  </si>
  <si>
    <t>Also please remember that under the FRS you are allowed to claim input VAT on individual purchases of Capital Equipment costing more than £2,000 including VAT. If you do this please manually enter the VAT figure to be claimed in box 4 of the VAT Return.</t>
  </si>
  <si>
    <t>Telephone Home:</t>
  </si>
  <si>
    <t>Telephone Work:</t>
  </si>
  <si>
    <t>Mobile:</t>
  </si>
  <si>
    <t>Email:</t>
  </si>
  <si>
    <t xml:space="preserve">none </t>
  </si>
  <si>
    <t>excluding any VAT. Include your box 9 figure</t>
  </si>
  <si>
    <t>Year End:</t>
  </si>
  <si>
    <t>At your initial interview and registration, you will be told how to enter these transactions, how much to pay yourself and set aside for tax, etc in a very simple manner.</t>
  </si>
  <si>
    <t>"Bankings not yet cleared" relate to Bankings (usually towards the end of the month) which have been recorded in your Bank Receipts but have not yet been processed to your Bank Statement.</t>
  </si>
  <si>
    <t>Details</t>
  </si>
  <si>
    <t>Books &amp; Magazines</t>
  </si>
  <si>
    <t>Petrol Scale Charge (if applicable)</t>
  </si>
  <si>
    <t>Last invoice of the month goes up to</t>
  </si>
  <si>
    <t>The final sheet shows a summary of transactions for the year.</t>
  </si>
  <si>
    <t>Similarly, "Payments not yet cleared" represent cheques which have been made out and paid and entered in the Bank Payments but have not yet appeared on your Bank Statement.</t>
  </si>
  <si>
    <t>Ref</t>
  </si>
  <si>
    <t>Inv No</t>
  </si>
  <si>
    <t>Tax Refunds</t>
  </si>
  <si>
    <t>PETTY CASH SUMMARY</t>
  </si>
  <si>
    <t>Cash drawn during month</t>
  </si>
  <si>
    <t>Cash expenses during month</t>
  </si>
  <si>
    <t>Company Deposit Account  - enter all amounts that have been transferred from deposit accounts</t>
  </si>
  <si>
    <t>Sundries - enter any other bankings in this column</t>
  </si>
  <si>
    <t>Tax Refunds - enter refunds received from Inland Revenue in this column.</t>
  </si>
  <si>
    <t>At the end of the month, check entries in "Total Bankings" and "Total Paid" columns match the Bank Statements - enter items not recorded eg. Standing Orders or Bank Charges.</t>
  </si>
  <si>
    <t>This will automatically be produced, and it will merely be necessary for you to copy over the figures onto your VAT Return for the quarter. The final column should be used if you are on the Flat Rate Scheme. Please ensure the Flat Rate Scheme Percentage appropriate to your business is as advised by your Partner at Nyman Linden.</t>
  </si>
  <si>
    <t>Welcome to NL AccountControl.</t>
  </si>
  <si>
    <t>Similarly your Bank and Cash Payments will only have to be entered in the appropriate column once, and thereafter the Annual Summary and VAT Summary will be produced.</t>
  </si>
  <si>
    <t>Input   VAT</t>
  </si>
  <si>
    <t>HMRC</t>
  </si>
  <si>
    <t>This spreadsheet is produced on Excel and is designed specifically for Contractors in the IT, Petrochemical and Allied Trades Industries.</t>
  </si>
  <si>
    <t xml:space="preserve">For each month you will find 5 sections:-      </t>
  </si>
  <si>
    <t xml:space="preserve">          Petty Cash Summary</t>
  </si>
  <si>
    <t>You will find that by entering your invoice once in the Bank Receipts it will automatically be transferred to the Bank Summary and the VAT Control. Thus the Bank Summary and VAT Sections will be populated without you having to make any entries thereon.</t>
  </si>
  <si>
    <t>Always remember we are here to help you, so please telephone or email us should you require any assistance.</t>
  </si>
  <si>
    <t>Total Bankings - do not enter any figures in this column</t>
  </si>
  <si>
    <t>Expenses Reimbursed - enter expenses reimbursed by your client</t>
  </si>
  <si>
    <t>Net Sales - enter the amount invoiced as and when the money is received in the bank account</t>
  </si>
  <si>
    <t>VAT - enter output VAT into this column</t>
  </si>
  <si>
    <t>Interest Received - enter all interest received here</t>
  </si>
  <si>
    <t>If you are on the Flat Rate Scheme there is no longer any need to show the VAT separately. Simply enter the total money received for you invoices in the Net Sales column. However, for Bank Receipts only, if you wish to show the VAT separately you can still do this.</t>
  </si>
  <si>
    <t>Do not enter any figures in the total column.</t>
  </si>
  <si>
    <t>If there is VAT included in the payment, then that VAT amount should be entered in the final VAT column O, and the net amount only should go into the appropriate column.</t>
  </si>
  <si>
    <t>This is effectively your monthly expense claim to your company. Payments should be entered in date order and the receipts must be kept for such expenditure. We recognise there are many items of cash expenditure such as postage, taxi fares, etc., for which a receipt would be impossible or too cumbersome to obtain. Where this is the case, please make a note of the expense and keep this as your receipt.</t>
  </si>
  <si>
    <r>
      <t xml:space="preserve">If you are on the Flat Rate Scheme you </t>
    </r>
    <r>
      <rPr>
        <u/>
        <sz val="10"/>
        <rFont val="Arial"/>
        <family val="2"/>
      </rPr>
      <t>must</t>
    </r>
    <r>
      <rPr>
        <sz val="10"/>
        <rFont val="Arial"/>
        <family val="2"/>
      </rPr>
      <t xml:space="preserve"> enter the gross amount (including VAT) in the appropriate column.</t>
    </r>
  </si>
  <si>
    <t>Petty Cash Summary/Control</t>
  </si>
  <si>
    <t>When you reimburse yourself from the company bank account, the payment needs to be entered in the Petty Cash column of the Bank Payments section.</t>
  </si>
  <si>
    <t>This is a cumulative figure and tells you how much money you still need to reimburse yourself for your petty cash expenses.</t>
  </si>
  <si>
    <t>You can use the spare columns for any recurring expenditure that you may have. If you change any of the column headings, please do this in month 1, so that all 12 months have identical headings.</t>
  </si>
  <si>
    <t>Always remember we are here to help you, so please contact us should you require any assistance.</t>
  </si>
  <si>
    <t>Output VAT payable</t>
  </si>
  <si>
    <t>Input VAT reclaimable</t>
  </si>
  <si>
    <t>Gross interest received on deposit and other acounts (enter in FRS column only)</t>
  </si>
  <si>
    <t>Gross interest received on current account (enter in FRS column only)</t>
  </si>
  <si>
    <t>n/a</t>
  </si>
  <si>
    <t>Changes incorporated in Version 5.0 (Feb 09) [updated from Version 4.1 (Apr 04)]</t>
  </si>
  <si>
    <t>Changes incorporated in Version 5.1 (Apr 11) [updated from Version 5.0 (Feb 09)]</t>
  </si>
  <si>
    <t>- FRS VAT on bank interest included in VAT workings.</t>
  </si>
  <si>
    <t>- Pages no longer protected. To protect click Tools, Protection, Protect Sheet.</t>
  </si>
  <si>
    <t>- User notes updated.</t>
  </si>
  <si>
    <t>- Minor changes to column widths, footers and formatting.</t>
  </si>
  <si>
    <t>ABC Limited</t>
  </si>
  <si>
    <t>As Chartered Accountants with many years experience in dealing with both large and small businesses, we have organised this very simple and easy to operate system for our clients which, if used correctly, will keep the businessman fully informed and keep within the regulations imposed by the Registrar of Companies and HM Revenue &amp; Customs.</t>
  </si>
  <si>
    <t>Eg. Cheque for £120.00 for Stationary which includes VAT should be entered as:-</t>
  </si>
  <si>
    <t xml:space="preserve">          Input VAT column £20.00</t>
  </si>
  <si>
    <r>
      <t xml:space="preserve">For payments/ expenses, if you are in the Flat Rate Scheme you </t>
    </r>
    <r>
      <rPr>
        <u/>
        <sz val="10"/>
        <rFont val="Arial"/>
        <family val="2"/>
      </rPr>
      <t>must</t>
    </r>
    <r>
      <rPr>
        <sz val="10"/>
        <rFont val="Arial"/>
        <family val="2"/>
      </rPr>
      <t xml:space="preserve"> enter the gross amount (including VAT) in the appropriate column. In the above example £120.00 to Sundries. Do not use the Input VAT column.</t>
    </r>
  </si>
  <si>
    <t xml:space="preserve">          Balance of the amount ie. £100.00 should go in Sundries</t>
  </si>
  <si>
    <t>- FRS VAT on bank interest now removed from VAT workings.</t>
  </si>
  <si>
    <t xml:space="preserve">    (HMRC lost the case requiring FRS VAT to be paid on bank interest received)</t>
  </si>
  <si>
    <t>- "Set Print Area" removed on the VAT sheets.</t>
  </si>
  <si>
    <t>- Now incorporates a warning message if figures do not add across.</t>
  </si>
  <si>
    <t>VAT ACCOUNTS</t>
  </si>
  <si>
    <t xml:space="preserve">Total Value of all acquisitions of goods and related </t>
  </si>
  <si>
    <t>Total Value of all supplies of goods &amp; related services,</t>
  </si>
  <si>
    <t xml:space="preserve">VAT reclaimed in the period on purchases and other </t>
  </si>
  <si>
    <t>Total VAT due (the sum of box 1 and 2)</t>
  </si>
  <si>
    <t xml:space="preserve">VAT due in this period on acquisitions from other </t>
  </si>
  <si>
    <t>VAT due in this period on sales and other outputs</t>
  </si>
  <si>
    <t>VAT Number</t>
  </si>
  <si>
    <t>Submission Status</t>
  </si>
  <si>
    <t>Post Code</t>
  </si>
  <si>
    <t>Q4</t>
  </si>
  <si>
    <t>Address</t>
  </si>
  <si>
    <t>Q3</t>
  </si>
  <si>
    <t>Q2</t>
  </si>
  <si>
    <t>Q1</t>
  </si>
  <si>
    <t>Select VAT Scheme</t>
  </si>
  <si>
    <t>chargeRefNumber</t>
  </si>
  <si>
    <t>formBundleNumber</t>
  </si>
  <si>
    <t>paymentIndicator</t>
  </si>
  <si>
    <t>processingDate</t>
  </si>
  <si>
    <t>VAT Period</t>
  </si>
  <si>
    <t>Company Name</t>
  </si>
  <si>
    <t>HMRC MTD Filing Reply</t>
  </si>
  <si>
    <t>Select VAT Period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</si>
</sst>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quot;#,##0.00;[Red]\-&quot;£&quot;#,##0.00"/>
    <numFmt numFmtId="164" formatCode="0.0%"/>
    <numFmt numFmtId="165" formatCode="mmm\ yy"/>
    <numFmt numFmtId="166" formatCode="&quot;£&quot;#,##0.00"/>
    <numFmt numFmtId="167" formatCode="#,##0.00;[Red]\(#,##0.00\)"/>
    <numFmt numFmtId="168" formatCode="0.000%"/>
    <numFmt numFmtId="169" formatCode="dd\ mmm\ yy"/>
    <numFmt numFmtId="170" formatCode="#,##0\ \ ;[Red]\-#,##0"/>
    <numFmt numFmtId="171" formatCode="#,##0.00\ ;[Red]\(#,##0.00\);&quot;none&quot;"/>
    <numFmt numFmtId="172" formatCode="#,##0.00\ ;[Red]\(#,##0.00\);&quot;none &quot;"/>
    <numFmt numFmtId="173" formatCode="#,##0\ ;[Red]\(#,##0\);&quot;none &quot;"/>
    <numFmt numFmtId="174" formatCode="&quot;£&quot;#,##0.00;[Red]\(&quot;£&quot;#,##0.00\)"/>
  </numFmts>
  <fonts count="27" x14ac:knownFonts="1">
    <font>
      <sz val="10"/>
      <name val="Arial"/>
    </font>
    <font>
      <sz val="10"/>
      <name val="Arial"/>
      <family val="2"/>
    </font>
    <font>
      <sz val="10"/>
      <name val="Arial"/>
      <family val="2"/>
    </font>
    <font>
      <b/>
      <u/>
      <sz val="11"/>
      <name val="Arial"/>
      <family val="2"/>
    </font>
    <font>
      <b/>
      <sz val="11"/>
      <name val="Arial"/>
      <family val="2"/>
    </font>
    <font>
      <b/>
      <sz val="10"/>
      <name val="Arial"/>
      <family val="2"/>
    </font>
    <font>
      <b/>
      <sz val="14"/>
      <name val="Arial"/>
      <family val="2"/>
    </font>
    <font>
      <b/>
      <sz val="10"/>
      <name val="Arial"/>
      <family val="2"/>
    </font>
    <font>
      <b/>
      <u/>
      <sz val="10"/>
      <name val="Arial"/>
      <family val="2"/>
    </font>
    <font>
      <b/>
      <sz val="12"/>
      <name val="Arial"/>
      <family val="2"/>
    </font>
    <font>
      <b/>
      <sz val="14"/>
      <name val="Arial"/>
      <family val="2"/>
    </font>
    <font>
      <b/>
      <sz val="12"/>
      <name val="Arial"/>
      <family val="2"/>
    </font>
    <font>
      <b/>
      <u/>
      <sz val="10"/>
      <name val="Arial"/>
      <family val="2"/>
    </font>
    <font>
      <b/>
      <i/>
      <sz val="10"/>
      <name val="Arial"/>
      <family val="2"/>
    </font>
    <font>
      <b/>
      <sz val="11"/>
      <name val="Arial"/>
      <family val="2"/>
    </font>
    <font>
      <b/>
      <sz val="10"/>
      <color indexed="10"/>
      <name val="Arial"/>
      <family val="2"/>
    </font>
    <font>
      <sz val="14"/>
      <name val="Book Antiqua"/>
      <family val="1"/>
    </font>
    <font>
      <u/>
      <sz val="14"/>
      <name val="Book Antiqua"/>
      <family val="1"/>
    </font>
    <font>
      <b/>
      <sz val="30"/>
      <name val="Book Antiqua"/>
      <family val="1"/>
    </font>
    <font>
      <sz val="10"/>
      <name val="Book Antiqua"/>
      <family val="1"/>
    </font>
    <font>
      <sz val="11"/>
      <name val="Arial"/>
      <family val="2"/>
    </font>
    <font>
      <u/>
      <sz val="10"/>
      <name val="Arial"/>
      <family val="2"/>
    </font>
    <font>
      <b/>
      <sz val="12"/>
      <color indexed="10"/>
      <name val="Arial"/>
      <family val="2"/>
    </font>
    <font>
      <b/>
      <sz val="10"/>
      <color indexed="14"/>
      <name val="Arial"/>
      <family val="2"/>
    </font>
    <font>
      <strike/>
      <sz val="10"/>
      <name val="Arial"/>
      <family val="2"/>
    </font>
    <font>
      <b/>
      <sz val="15"/>
      <name val="Book Antiqua"/>
      <family val="1"/>
    </font>
    <font>
      <sz val="10"/>
      <color rgb="FF000000"/>
      <name val="Arial"/>
      <family val="2"/>
    </font>
  </fonts>
  <fills count="14">
    <fill>
      <patternFill patternType="none"/>
    </fill>
    <fill>
      <patternFill patternType="gray125"/>
    </fill>
    <fill>
      <patternFill patternType="solid">
        <fgColor indexed="42"/>
        <bgColor indexed="64"/>
      </patternFill>
    </fill>
    <fill>
      <patternFill patternType="solid">
        <fgColor indexed="57"/>
        <bgColor indexed="64"/>
      </patternFill>
    </fill>
    <fill>
      <patternFill patternType="solid">
        <fgColor indexed="41"/>
        <bgColor indexed="64"/>
      </patternFill>
    </fill>
    <fill>
      <patternFill patternType="solid">
        <fgColor indexed="47"/>
        <bgColor indexed="64"/>
      </patternFill>
    </fill>
    <fill>
      <patternFill patternType="solid">
        <fgColor indexed="15"/>
        <bgColor indexed="64"/>
      </patternFill>
    </fill>
    <fill>
      <patternFill patternType="solid">
        <fgColor indexed="43"/>
        <bgColor indexed="64"/>
      </patternFill>
    </fill>
    <fill>
      <patternFill patternType="solid">
        <fgColor indexed="46"/>
        <bgColor indexed="64"/>
      </patternFill>
    </fill>
    <fill>
      <patternFill patternType="solid">
        <fgColor indexed="27"/>
        <bgColor indexed="41"/>
      </patternFill>
    </fill>
    <fill>
      <patternFill patternType="solid">
        <fgColor indexed="57"/>
        <bgColor indexed="21"/>
      </patternFill>
    </fill>
    <fill>
      <patternFill patternType="solid">
        <fgColor indexed="42"/>
        <bgColor indexed="27"/>
      </patternFill>
    </fill>
    <fill>
      <patternFill patternType="solid">
        <fgColor indexed="47"/>
        <bgColor indexed="22"/>
      </patternFill>
    </fill>
    <fill>
      <patternFill patternType="solid">
        <fgColor indexed="13"/>
        <bgColor indexed="43"/>
      </patternFill>
    </fill>
  </fills>
  <borders count="55">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diagonal/>
    </border>
    <border>
      <left/>
      <right style="medium">
        <color indexed="64"/>
      </right>
      <top style="thin">
        <color indexed="64"/>
      </top>
      <bottom/>
      <diagonal/>
    </border>
    <border>
      <left style="medium">
        <color indexed="64"/>
      </left>
      <right/>
      <top style="thin">
        <color indexed="64"/>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medium">
        <color indexed="64"/>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top/>
      <bottom style="medium">
        <color indexed="64"/>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style="medium">
        <color indexed="64"/>
      </bottom>
      <diagonal/>
    </border>
    <border>
      <left style="medium">
        <color indexed="64"/>
      </left>
      <right style="medium">
        <color indexed="64"/>
      </right>
      <top style="thin">
        <color indexed="64"/>
      </top>
      <bottom style="double">
        <color indexed="64"/>
      </bottom>
      <diagonal/>
    </border>
    <border>
      <left/>
      <right/>
      <top style="thin">
        <color indexed="64"/>
      </top>
      <bottom style="double">
        <color indexed="64"/>
      </bottom>
      <diagonal/>
    </border>
    <border>
      <left/>
      <right style="medium">
        <color indexed="64"/>
      </right>
      <top style="thin">
        <color indexed="64"/>
      </top>
      <bottom style="double">
        <color indexed="64"/>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3"/>
      </left>
      <right style="medium">
        <color indexed="63"/>
      </right>
      <top style="medium">
        <color indexed="63"/>
      </top>
      <bottom style="medium">
        <color indexed="63"/>
      </bottom>
      <diagonal/>
    </border>
    <border>
      <left style="medium">
        <color indexed="63"/>
      </left>
      <right/>
      <top/>
      <bottom style="thin">
        <color indexed="63"/>
      </bottom>
      <diagonal/>
    </border>
    <border>
      <left/>
      <right style="medium">
        <color indexed="63"/>
      </right>
      <top/>
      <bottom style="thin">
        <color indexed="63"/>
      </bottom>
      <diagonal/>
    </border>
    <border>
      <left/>
      <right style="medium">
        <color indexed="63"/>
      </right>
      <top/>
      <bottom style="medium">
        <color indexed="63"/>
      </bottom>
      <diagonal/>
    </border>
    <border>
      <left/>
      <right/>
      <top/>
      <bottom style="medium">
        <color indexed="63"/>
      </bottom>
      <diagonal/>
    </border>
    <border>
      <left style="medium">
        <color indexed="63"/>
      </left>
      <right/>
      <top/>
      <bottom style="medium">
        <color indexed="63"/>
      </bottom>
      <diagonal/>
    </border>
    <border>
      <left style="medium">
        <color indexed="63"/>
      </left>
      <right/>
      <top style="thin">
        <color indexed="63"/>
      </top>
      <bottom/>
      <diagonal/>
    </border>
    <border>
      <left/>
      <right style="medium">
        <color indexed="63"/>
      </right>
      <top style="thin">
        <color indexed="63"/>
      </top>
      <bottom/>
      <diagonal/>
    </border>
    <border>
      <left/>
      <right style="medium">
        <color indexed="63"/>
      </right>
      <top style="medium">
        <color indexed="63"/>
      </top>
      <bottom/>
      <diagonal/>
    </border>
    <border>
      <left/>
      <right/>
      <top style="medium">
        <color indexed="63"/>
      </top>
      <bottom/>
      <diagonal/>
    </border>
    <border>
      <left style="medium">
        <color indexed="63"/>
      </left>
      <right/>
      <top style="medium">
        <color indexed="63"/>
      </top>
      <bottom/>
      <diagonal/>
    </border>
    <border>
      <left style="medium">
        <color indexed="63"/>
      </left>
      <right style="medium">
        <color indexed="63"/>
      </right>
      <top/>
      <bottom style="thin">
        <color indexed="63"/>
      </bottom>
      <diagonal/>
    </border>
    <border>
      <left/>
      <right style="medium">
        <color indexed="63"/>
      </right>
      <top/>
      <bottom/>
      <diagonal/>
    </border>
    <border>
      <left/>
      <right style="medium">
        <color indexed="63"/>
      </right>
      <top style="medium">
        <color indexed="63"/>
      </top>
      <bottom style="medium">
        <color indexed="63"/>
      </bottom>
      <diagonal/>
    </border>
    <border>
      <left style="medium">
        <color indexed="63"/>
      </left>
      <right style="medium">
        <color indexed="63"/>
      </right>
      <top style="thin">
        <color indexed="63"/>
      </top>
      <bottom/>
      <diagonal/>
    </border>
    <border>
      <left style="medium">
        <color indexed="63"/>
      </left>
      <right/>
      <top style="thin">
        <color indexed="63"/>
      </top>
      <bottom style="thin">
        <color indexed="63"/>
      </bottom>
      <diagonal/>
    </border>
    <border>
      <left/>
      <right style="medium">
        <color indexed="63"/>
      </right>
      <top style="thin">
        <color indexed="63"/>
      </top>
      <bottom style="thin">
        <color indexed="63"/>
      </bottom>
      <diagonal/>
    </border>
    <border>
      <left/>
      <right/>
      <top style="medium">
        <color indexed="63"/>
      </top>
      <bottom style="medium">
        <color indexed="63"/>
      </bottom>
      <diagonal/>
    </border>
    <border>
      <left style="medium">
        <color indexed="63"/>
      </left>
      <right/>
      <top style="medium">
        <color indexed="63"/>
      </top>
      <bottom style="medium">
        <color indexed="63"/>
      </bottom>
      <diagonal/>
    </border>
    <border>
      <left style="medium">
        <color indexed="63"/>
      </left>
      <right style="medium">
        <color indexed="63"/>
      </right>
      <top/>
      <bottom/>
      <diagonal/>
    </border>
    <border>
      <left style="medium">
        <color indexed="63"/>
      </left>
      <right style="medium">
        <color indexed="63"/>
      </right>
      <top/>
      <bottom style="medium">
        <color indexed="63"/>
      </bottom>
      <diagonal/>
    </border>
    <border>
      <left style="medium">
        <color indexed="63"/>
      </left>
      <right style="medium">
        <color indexed="63"/>
      </right>
      <top style="medium">
        <color indexed="63"/>
      </top>
      <bottom/>
      <diagonal/>
    </border>
  </borders>
  <cellStyleXfs count="3">
    <xf numFmtId="0" fontId="0" fillId="0" borderId="0"/>
    <xf numFmtId="9" fontId="1" fillId="0" borderId="0" applyFont="0" applyFill="0" applyBorder="0" applyAlignment="0" applyProtection="0"/>
    <xf numFmtId="0" fontId="2" fillId="0" borderId="0"/>
  </cellStyleXfs>
  <cellXfs count="339">
    <xf numFmtId="0" fontId="0" fillId="0" borderId="0" xfId="0"/>
    <xf numFmtId="0" fontId="4" fillId="0" borderId="0" xfId="0" applyFont="1" applyAlignment="1">
      <alignment horizontal="center"/>
    </xf>
    <xf numFmtId="0" fontId="6" fillId="2" borderId="0" xfId="0" applyFont="1" applyFill="1" applyAlignment="1">
      <alignment horizontal="center"/>
    </xf>
    <xf numFmtId="0" fontId="16" fillId="0" borderId="0" xfId="0" applyFont="1" applyAlignment="1"/>
    <xf numFmtId="0" fontId="17" fillId="0" borderId="0" xfId="0" applyFont="1" applyFill="1" applyAlignment="1"/>
    <xf numFmtId="0" fontId="16" fillId="0" borderId="0" xfId="0" applyFont="1" applyFill="1" applyAlignment="1"/>
    <xf numFmtId="0" fontId="5" fillId="0" borderId="0" xfId="0" applyFont="1" applyAlignment="1">
      <alignment horizontal="justify"/>
    </xf>
    <xf numFmtId="0" fontId="0" fillId="0" borderId="0" xfId="0" applyAlignment="1">
      <alignment horizontal="justify"/>
    </xf>
    <xf numFmtId="0" fontId="0" fillId="0" borderId="0" xfId="0" applyAlignment="1">
      <alignment horizontal="justify" wrapText="1"/>
    </xf>
    <xf numFmtId="0" fontId="1" fillId="0" borderId="0" xfId="0" applyFont="1" applyAlignment="1">
      <alignment horizontal="justify"/>
    </xf>
    <xf numFmtId="0" fontId="1" fillId="0" borderId="0" xfId="0" applyFont="1" applyAlignment="1">
      <alignment horizontal="justify" wrapText="1"/>
    </xf>
    <xf numFmtId="0" fontId="5" fillId="0" borderId="0" xfId="0" applyFont="1" applyAlignment="1">
      <alignment horizontal="justify" wrapText="1"/>
    </xf>
    <xf numFmtId="0" fontId="16" fillId="0" borderId="0" xfId="0" applyFont="1"/>
    <xf numFmtId="0" fontId="18" fillId="0" borderId="0" xfId="0" applyFont="1" applyAlignment="1" applyProtection="1">
      <alignment horizontal="center" vertical="center"/>
      <protection locked="0"/>
    </xf>
    <xf numFmtId="0" fontId="19" fillId="0" borderId="0" xfId="0" applyFont="1" applyFill="1" applyAlignment="1"/>
    <xf numFmtId="0" fontId="0" fillId="3" borderId="1" xfId="0" applyFill="1" applyBorder="1" applyAlignment="1" applyProtection="1">
      <alignment horizontal="center" vertical="center"/>
      <protection locked="0"/>
    </xf>
    <xf numFmtId="0" fontId="0" fillId="0" borderId="2" xfId="0" applyBorder="1" applyAlignment="1" applyProtection="1">
      <alignment vertical="center"/>
      <protection locked="0"/>
    </xf>
    <xf numFmtId="171" fontId="0" fillId="0" borderId="3" xfId="0" applyNumberFormat="1" applyBorder="1" applyAlignment="1" applyProtection="1">
      <alignment vertical="center"/>
      <protection locked="0"/>
    </xf>
    <xf numFmtId="0" fontId="0" fillId="0" borderId="0" xfId="0" applyFill="1" applyAlignment="1" applyProtection="1">
      <alignment horizontal="center" vertical="center"/>
      <protection locked="0"/>
    </xf>
    <xf numFmtId="0" fontId="0" fillId="0" borderId="0" xfId="0" applyAlignment="1" applyProtection="1">
      <alignment vertical="center"/>
      <protection locked="0"/>
    </xf>
    <xf numFmtId="171" fontId="0" fillId="0" borderId="0" xfId="0" applyNumberFormat="1" applyAlignment="1" applyProtection="1">
      <alignment horizontal="right" vertical="center"/>
      <protection locked="0"/>
    </xf>
    <xf numFmtId="171" fontId="0" fillId="0" borderId="0" xfId="0" applyNumberFormat="1" applyAlignment="1" applyProtection="1">
      <alignment vertical="center"/>
      <protection locked="0"/>
    </xf>
    <xf numFmtId="171" fontId="0" fillId="4" borderId="4" xfId="0" applyNumberFormat="1" applyFill="1" applyBorder="1" applyAlignment="1" applyProtection="1">
      <alignment horizontal="right" vertical="center"/>
      <protection locked="0"/>
    </xf>
    <xf numFmtId="0" fontId="0" fillId="0" borderId="5" xfId="0" applyBorder="1" applyAlignment="1" applyProtection="1">
      <alignment vertical="center"/>
      <protection locked="0"/>
    </xf>
    <xf numFmtId="171" fontId="0" fillId="0" borderId="6" xfId="0" applyNumberFormat="1" applyBorder="1" applyAlignment="1" applyProtection="1">
      <alignment vertical="center"/>
      <protection locked="0"/>
    </xf>
    <xf numFmtId="0" fontId="0" fillId="0" borderId="7" xfId="0" applyBorder="1" applyAlignment="1" applyProtection="1">
      <alignment vertical="center"/>
      <protection locked="0"/>
    </xf>
    <xf numFmtId="171" fontId="0" fillId="0" borderId="8" xfId="0" applyNumberFormat="1" applyBorder="1" applyAlignment="1" applyProtection="1">
      <alignment vertical="center"/>
      <protection locked="0"/>
    </xf>
    <xf numFmtId="0" fontId="0" fillId="0" borderId="9" xfId="0" applyBorder="1" applyAlignment="1" applyProtection="1">
      <alignment vertical="center"/>
      <protection locked="0"/>
    </xf>
    <xf numFmtId="0" fontId="0" fillId="0" borderId="10" xfId="0" applyBorder="1"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right" vertical="center"/>
      <protection locked="0"/>
    </xf>
    <xf numFmtId="0" fontId="0" fillId="4" borderId="4" xfId="0" applyFill="1" applyBorder="1" applyAlignment="1" applyProtection="1">
      <alignment horizontal="right" vertical="center"/>
      <protection locked="0"/>
    </xf>
    <xf numFmtId="173" fontId="0" fillId="0" borderId="6" xfId="0" applyNumberFormat="1" applyBorder="1" applyAlignment="1" applyProtection="1">
      <alignment vertical="center"/>
      <protection locked="0"/>
    </xf>
    <xf numFmtId="173" fontId="0" fillId="0" borderId="8" xfId="0" applyNumberFormat="1" applyBorder="1" applyAlignment="1" applyProtection="1">
      <alignment vertical="center"/>
      <protection locked="0"/>
    </xf>
    <xf numFmtId="173" fontId="0" fillId="0" borderId="0" xfId="0" applyNumberFormat="1" applyAlignment="1" applyProtection="1">
      <alignment horizontal="right" vertical="center"/>
      <protection locked="0"/>
    </xf>
    <xf numFmtId="173" fontId="0" fillId="0" borderId="0" xfId="0" applyNumberFormat="1" applyAlignment="1" applyProtection="1">
      <alignment vertical="center"/>
      <protection locked="0"/>
    </xf>
    <xf numFmtId="173" fontId="0" fillId="4" borderId="4" xfId="0" applyNumberFormat="1" applyFill="1" applyBorder="1" applyAlignment="1" applyProtection="1">
      <alignment horizontal="right" vertical="center"/>
      <protection locked="0"/>
    </xf>
    <xf numFmtId="0" fontId="0" fillId="0" borderId="11" xfId="0" applyBorder="1" applyAlignment="1" applyProtection="1">
      <alignment vertical="center"/>
      <protection locked="0"/>
    </xf>
    <xf numFmtId="0" fontId="0" fillId="0" borderId="8" xfId="0" applyBorder="1" applyAlignment="1" applyProtection="1">
      <alignment horizontal="center" vertical="center"/>
      <protection locked="0"/>
    </xf>
    <xf numFmtId="0" fontId="0" fillId="0" borderId="12" xfId="0" applyBorder="1" applyAlignment="1" applyProtection="1">
      <alignment vertical="center"/>
      <protection locked="0"/>
    </xf>
    <xf numFmtId="171" fontId="0" fillId="0" borderId="12" xfId="0" applyNumberFormat="1" applyBorder="1" applyAlignment="1" applyProtection="1">
      <alignment vertical="center"/>
      <protection locked="0"/>
    </xf>
    <xf numFmtId="171" fontId="0" fillId="0" borderId="4" xfId="0" applyNumberFormat="1" applyBorder="1" applyAlignment="1" applyProtection="1">
      <alignment horizontal="right" vertical="center"/>
      <protection locked="0"/>
    </xf>
    <xf numFmtId="0" fontId="0" fillId="0" borderId="13" xfId="0" applyBorder="1" applyAlignment="1" applyProtection="1">
      <alignment vertical="center"/>
      <protection locked="0"/>
    </xf>
    <xf numFmtId="171" fontId="0" fillId="0" borderId="13" xfId="0" applyNumberFormat="1" applyBorder="1" applyAlignment="1" applyProtection="1">
      <alignment vertical="center"/>
      <protection locked="0"/>
    </xf>
    <xf numFmtId="0" fontId="0" fillId="0" borderId="14" xfId="0" applyBorder="1" applyAlignment="1" applyProtection="1">
      <alignment vertical="center"/>
      <protection locked="0"/>
    </xf>
    <xf numFmtId="171" fontId="0" fillId="0" borderId="14" xfId="0" applyNumberFormat="1" applyBorder="1" applyAlignment="1" applyProtection="1">
      <alignment vertical="center"/>
      <protection locked="0"/>
    </xf>
    <xf numFmtId="0" fontId="0" fillId="0" borderId="6" xfId="0" applyBorder="1" applyAlignment="1" applyProtection="1">
      <alignment vertical="center"/>
      <protection locked="0"/>
    </xf>
    <xf numFmtId="0" fontId="0" fillId="0" borderId="8" xfId="0" applyBorder="1" applyAlignment="1" applyProtection="1">
      <alignment vertical="center"/>
      <protection locked="0"/>
    </xf>
    <xf numFmtId="0" fontId="0" fillId="0" borderId="4" xfId="0" applyBorder="1" applyAlignment="1" applyProtection="1">
      <alignment horizontal="right" vertical="center"/>
      <protection locked="0"/>
    </xf>
    <xf numFmtId="173" fontId="0" fillId="0" borderId="13" xfId="0" applyNumberFormat="1" applyBorder="1" applyAlignment="1" applyProtection="1">
      <alignment vertical="center"/>
      <protection locked="0"/>
    </xf>
    <xf numFmtId="173" fontId="0" fillId="0" borderId="14" xfId="0" applyNumberFormat="1" applyBorder="1" applyAlignment="1" applyProtection="1">
      <alignment vertical="center"/>
      <protection locked="0"/>
    </xf>
    <xf numFmtId="173" fontId="0" fillId="0" borderId="4" xfId="0" applyNumberFormat="1" applyBorder="1" applyAlignment="1" applyProtection="1">
      <alignment horizontal="right" vertical="center"/>
      <protection locked="0"/>
    </xf>
    <xf numFmtId="0" fontId="0" fillId="0" borderId="0" xfId="0" applyBorder="1" applyAlignment="1" applyProtection="1">
      <alignment vertical="center"/>
      <protection locked="0"/>
    </xf>
    <xf numFmtId="0" fontId="0" fillId="0" borderId="14" xfId="0" applyBorder="1" applyAlignment="1" applyProtection="1">
      <alignment horizontal="center" vertical="center"/>
      <protection locked="0"/>
    </xf>
    <xf numFmtId="0" fontId="18" fillId="0" borderId="0" xfId="0" applyFont="1" applyFill="1" applyAlignment="1" applyProtection="1">
      <alignment horizontal="center" vertical="center"/>
      <protection locked="0"/>
    </xf>
    <xf numFmtId="172" fontId="0" fillId="0" borderId="1" xfId="0" applyNumberFormat="1" applyBorder="1" applyAlignment="1" applyProtection="1">
      <alignment horizontal="right" vertical="center"/>
      <protection locked="0"/>
    </xf>
    <xf numFmtId="172" fontId="0" fillId="4" borderId="1" xfId="0" applyNumberFormat="1" applyFill="1" applyBorder="1" applyAlignment="1" applyProtection="1">
      <alignment horizontal="right" vertical="center"/>
      <protection locked="0"/>
    </xf>
    <xf numFmtId="0" fontId="0" fillId="0" borderId="0" xfId="0" applyAlignment="1">
      <alignment horizontal="center" vertical="center"/>
    </xf>
    <xf numFmtId="169" fontId="16" fillId="0" borderId="0" xfId="0" applyNumberFormat="1" applyFont="1" applyFill="1" applyAlignment="1">
      <alignment horizontal="left"/>
    </xf>
    <xf numFmtId="0" fontId="7" fillId="0" borderId="0" xfId="0" applyFont="1" applyAlignment="1">
      <alignment horizontal="justify" wrapText="1"/>
    </xf>
    <xf numFmtId="0" fontId="2" fillId="0" borderId="0" xfId="0" applyFont="1" applyBorder="1" applyAlignment="1" applyProtection="1">
      <alignment vertical="center"/>
      <protection locked="0"/>
    </xf>
    <xf numFmtId="0" fontId="0" fillId="5" borderId="15" xfId="0" applyFill="1" applyBorder="1" applyAlignment="1" applyProtection="1">
      <alignment vertical="center"/>
    </xf>
    <xf numFmtId="165" fontId="0" fillId="0" borderId="0" xfId="0" applyNumberFormat="1" applyBorder="1" applyAlignment="1" applyProtection="1">
      <alignment vertical="center"/>
      <protection locked="0"/>
    </xf>
    <xf numFmtId="0" fontId="9" fillId="6" borderId="16" xfId="0" applyFont="1" applyFill="1" applyBorder="1" applyAlignment="1" applyProtection="1">
      <alignment vertical="center"/>
    </xf>
    <xf numFmtId="0" fontId="0" fillId="6" borderId="17" xfId="0" applyFill="1" applyBorder="1" applyAlignment="1" applyProtection="1">
      <alignment vertical="center"/>
    </xf>
    <xf numFmtId="0" fontId="0" fillId="6" borderId="15" xfId="0" applyFill="1" applyBorder="1" applyAlignment="1" applyProtection="1">
      <alignment vertical="center"/>
    </xf>
    <xf numFmtId="0" fontId="0" fillId="0" borderId="0" xfId="0" applyAlignment="1" applyProtection="1">
      <alignment vertical="center"/>
    </xf>
    <xf numFmtId="0" fontId="6" fillId="5" borderId="1" xfId="0" applyFont="1" applyFill="1" applyBorder="1" applyAlignment="1" applyProtection="1">
      <alignment vertical="center"/>
    </xf>
    <xf numFmtId="0" fontId="0" fillId="0" borderId="18" xfId="0" applyBorder="1" applyAlignment="1" applyProtection="1">
      <alignment vertical="center"/>
    </xf>
    <xf numFmtId="0" fontId="7" fillId="4" borderId="1" xfId="0" applyFont="1" applyFill="1" applyBorder="1" applyAlignment="1" applyProtection="1">
      <alignment vertical="center"/>
    </xf>
    <xf numFmtId="165" fontId="7" fillId="4" borderId="1" xfId="0" applyNumberFormat="1" applyFont="1" applyFill="1" applyBorder="1" applyAlignment="1" applyProtection="1">
      <alignment horizontal="center" vertical="center"/>
    </xf>
    <xf numFmtId="0" fontId="0" fillId="0" borderId="19" xfId="0" applyBorder="1" applyAlignment="1" applyProtection="1">
      <alignment vertical="center"/>
    </xf>
    <xf numFmtId="0" fontId="0" fillId="0" borderId="20" xfId="0" applyBorder="1" applyAlignment="1" applyProtection="1">
      <alignment vertical="center"/>
    </xf>
    <xf numFmtId="0" fontId="0" fillId="0" borderId="21" xfId="0" applyBorder="1" applyAlignment="1" applyProtection="1">
      <alignment vertical="center"/>
    </xf>
    <xf numFmtId="0" fontId="7" fillId="2" borderId="16" xfId="0" applyFont="1" applyFill="1" applyBorder="1" applyAlignment="1" applyProtection="1">
      <alignment horizontal="center" vertical="center" wrapText="1"/>
    </xf>
    <xf numFmtId="0" fontId="7" fillId="2" borderId="17" xfId="0" applyFont="1" applyFill="1" applyBorder="1" applyAlignment="1" applyProtection="1">
      <alignment horizontal="center" vertical="center" wrapText="1"/>
    </xf>
    <xf numFmtId="0" fontId="7" fillId="2" borderId="17" xfId="0" applyFont="1" applyFill="1" applyBorder="1" applyAlignment="1" applyProtection="1">
      <alignment horizontal="left" vertical="center" wrapText="1"/>
    </xf>
    <xf numFmtId="0" fontId="7" fillId="2" borderId="17" xfId="0" applyFont="1" applyFill="1" applyBorder="1" applyAlignment="1" applyProtection="1">
      <alignment horizontal="center" vertical="center" wrapText="1"/>
      <protection locked="0"/>
    </xf>
    <xf numFmtId="0" fontId="7" fillId="2" borderId="15" xfId="0" applyFont="1" applyFill="1" applyBorder="1" applyAlignment="1" applyProtection="1">
      <alignment horizontal="center" vertical="center" wrapText="1"/>
      <protection locked="0"/>
    </xf>
    <xf numFmtId="0" fontId="7" fillId="0" borderId="0" xfId="0" applyFont="1" applyAlignment="1" applyProtection="1">
      <alignment vertical="center" wrapText="1"/>
    </xf>
    <xf numFmtId="169" fontId="2" fillId="0" borderId="22" xfId="0" applyNumberFormat="1" applyFont="1" applyBorder="1" applyAlignment="1" applyProtection="1">
      <alignment vertical="center"/>
      <protection locked="0"/>
    </xf>
    <xf numFmtId="0" fontId="2" fillId="0" borderId="0" xfId="0" applyFont="1" applyBorder="1" applyAlignment="1" applyProtection="1">
      <alignment horizontal="center" vertical="center"/>
      <protection locked="0"/>
    </xf>
    <xf numFmtId="0" fontId="2" fillId="0" borderId="0" xfId="0" applyFont="1" applyBorder="1" applyAlignment="1" applyProtection="1">
      <alignment horizontal="left" vertical="center"/>
      <protection locked="0"/>
    </xf>
    <xf numFmtId="167" fontId="2" fillId="0" borderId="0" xfId="0" applyNumberFormat="1" applyFont="1" applyBorder="1" applyAlignment="1" applyProtection="1">
      <alignment vertical="center"/>
    </xf>
    <xf numFmtId="167" fontId="2" fillId="0" borderId="0" xfId="0" applyNumberFormat="1" applyFont="1" applyBorder="1" applyAlignment="1" applyProtection="1">
      <alignment vertical="center"/>
      <protection locked="0"/>
    </xf>
    <xf numFmtId="167" fontId="0" fillId="0" borderId="0" xfId="0" applyNumberFormat="1" applyBorder="1" applyAlignment="1" applyProtection="1">
      <alignment vertical="center"/>
      <protection locked="0"/>
    </xf>
    <xf numFmtId="167" fontId="2" fillId="0" borderId="11" xfId="0" applyNumberFormat="1" applyFont="1" applyBorder="1" applyAlignment="1" applyProtection="1">
      <alignment vertical="center"/>
      <protection locked="0"/>
    </xf>
    <xf numFmtId="15" fontId="0" fillId="0" borderId="22" xfId="0" applyNumberFormat="1" applyBorder="1" applyAlignment="1" applyProtection="1">
      <alignment vertical="center"/>
    </xf>
    <xf numFmtId="0" fontId="0" fillId="0" borderId="0" xfId="0" applyBorder="1" applyAlignment="1" applyProtection="1">
      <alignment horizontal="center" vertical="center"/>
    </xf>
    <xf numFmtId="0" fontId="9" fillId="7" borderId="1" xfId="0" applyFont="1" applyFill="1" applyBorder="1" applyAlignment="1" applyProtection="1">
      <alignment vertical="center"/>
    </xf>
    <xf numFmtId="8" fontId="2" fillId="7" borderId="1" xfId="0" applyNumberFormat="1" applyFont="1" applyFill="1" applyBorder="1" applyAlignment="1" applyProtection="1">
      <alignment vertical="center"/>
    </xf>
    <xf numFmtId="167" fontId="2" fillId="7" borderId="17" xfId="0" applyNumberFormat="1" applyFont="1" applyFill="1" applyBorder="1" applyAlignment="1" applyProtection="1">
      <alignment vertical="center"/>
    </xf>
    <xf numFmtId="167" fontId="2" fillId="7" borderId="15" xfId="0" applyNumberFormat="1" applyFont="1" applyFill="1" applyBorder="1" applyAlignment="1" applyProtection="1">
      <alignment vertical="center"/>
    </xf>
    <xf numFmtId="0" fontId="0" fillId="0" borderId="0" xfId="0" applyBorder="1" applyAlignment="1" applyProtection="1">
      <alignment vertical="center"/>
    </xf>
    <xf numFmtId="0" fontId="4" fillId="0" borderId="0" xfId="0" applyFont="1" applyBorder="1" applyAlignment="1" applyProtection="1">
      <alignment horizontal="center" vertical="center"/>
    </xf>
    <xf numFmtId="0" fontId="20" fillId="0" borderId="0" xfId="0" applyFont="1" applyBorder="1" applyAlignment="1" applyProtection="1">
      <alignment vertical="center"/>
    </xf>
    <xf numFmtId="0" fontId="20" fillId="0" borderId="11" xfId="0" applyFont="1" applyBorder="1" applyAlignment="1" applyProtection="1">
      <alignment vertical="center"/>
    </xf>
    <xf numFmtId="15" fontId="0" fillId="0" borderId="23" xfId="0" applyNumberFormat="1" applyBorder="1" applyAlignment="1" applyProtection="1">
      <alignment vertical="center"/>
    </xf>
    <xf numFmtId="8" fontId="0" fillId="0" borderId="20" xfId="0" applyNumberFormat="1" applyBorder="1" applyAlignment="1" applyProtection="1">
      <alignment vertical="center"/>
    </xf>
    <xf numFmtId="0" fontId="0" fillId="0" borderId="24" xfId="0" applyBorder="1" applyAlignment="1" applyProtection="1">
      <alignment vertical="center"/>
    </xf>
    <xf numFmtId="0" fontId="6" fillId="5" borderId="16" xfId="0" applyFont="1" applyFill="1" applyBorder="1" applyAlignment="1" applyProtection="1">
      <alignment vertical="center"/>
    </xf>
    <xf numFmtId="0" fontId="6" fillId="5" borderId="15" xfId="0" applyFont="1" applyFill="1" applyBorder="1" applyAlignment="1" applyProtection="1">
      <alignment vertical="center"/>
    </xf>
    <xf numFmtId="0" fontId="0" fillId="0" borderId="22" xfId="0" applyBorder="1" applyAlignment="1" applyProtection="1">
      <alignment vertical="center"/>
    </xf>
    <xf numFmtId="0" fontId="0" fillId="0" borderId="11" xfId="0" applyBorder="1" applyAlignment="1" applyProtection="1">
      <alignment vertical="center"/>
    </xf>
    <xf numFmtId="0" fontId="7" fillId="2" borderId="16" xfId="0" applyFont="1" applyFill="1" applyBorder="1" applyAlignment="1" applyProtection="1">
      <alignment horizontal="centerContinuous" vertical="center" wrapText="1"/>
    </xf>
    <xf numFmtId="0" fontId="7" fillId="2" borderId="17" xfId="0" applyFont="1" applyFill="1" applyBorder="1" applyAlignment="1" applyProtection="1">
      <alignment vertical="center" wrapText="1"/>
    </xf>
    <xf numFmtId="0" fontId="7" fillId="2" borderId="17" xfId="0" applyFont="1" applyFill="1" applyBorder="1" applyAlignment="1" applyProtection="1">
      <alignment horizontal="centerContinuous" vertical="center" wrapText="1"/>
    </xf>
    <xf numFmtId="0" fontId="7" fillId="2" borderId="17" xfId="0" applyFont="1" applyFill="1" applyBorder="1" applyAlignment="1" applyProtection="1">
      <alignment horizontal="centerContinuous" vertical="center" wrapText="1"/>
      <protection locked="0"/>
    </xf>
    <xf numFmtId="0" fontId="4" fillId="0" borderId="11" xfId="0" applyFont="1" applyBorder="1" applyAlignment="1" applyProtection="1">
      <alignment horizontal="center" vertical="center"/>
    </xf>
    <xf numFmtId="0" fontId="10" fillId="5" borderId="1" xfId="0" applyFont="1" applyFill="1" applyBorder="1" applyAlignment="1" applyProtection="1">
      <alignment vertical="center"/>
    </xf>
    <xf numFmtId="0" fontId="11" fillId="0" borderId="18" xfId="0" applyFont="1" applyBorder="1" applyAlignment="1" applyProtection="1">
      <alignment vertical="center"/>
    </xf>
    <xf numFmtId="0" fontId="5" fillId="0" borderId="22" xfId="0" applyFont="1" applyBorder="1" applyAlignment="1" applyProtection="1">
      <alignment vertical="center"/>
    </xf>
    <xf numFmtId="0" fontId="7" fillId="0" borderId="22" xfId="0" applyFont="1" applyBorder="1" applyAlignment="1" applyProtection="1">
      <alignment vertical="center"/>
    </xf>
    <xf numFmtId="167" fontId="2" fillId="0" borderId="20" xfId="0" applyNumberFormat="1" applyFont="1" applyBorder="1" applyAlignment="1" applyProtection="1">
      <alignment vertical="center"/>
    </xf>
    <xf numFmtId="167" fontId="0" fillId="0" borderId="0" xfId="0" applyNumberFormat="1" applyBorder="1" applyAlignment="1" applyProtection="1">
      <alignment vertical="center"/>
    </xf>
    <xf numFmtId="8" fontId="0" fillId="7" borderId="1" xfId="0" applyNumberFormat="1" applyFill="1" applyBorder="1" applyAlignment="1" applyProtection="1">
      <alignment vertical="center"/>
    </xf>
    <xf numFmtId="0" fontId="10" fillId="5" borderId="16" xfId="0" applyFont="1" applyFill="1" applyBorder="1" applyAlignment="1" applyProtection="1">
      <alignment vertical="center"/>
    </xf>
    <xf numFmtId="0" fontId="0" fillId="5" borderId="17" xfId="0" applyFill="1" applyBorder="1" applyAlignment="1" applyProtection="1">
      <alignment vertical="center"/>
    </xf>
    <xf numFmtId="0" fontId="0" fillId="0" borderId="0" xfId="0" applyFill="1" applyBorder="1" applyAlignment="1" applyProtection="1">
      <alignment vertical="center"/>
    </xf>
    <xf numFmtId="174" fontId="0" fillId="7" borderId="1" xfId="0" applyNumberFormat="1" applyFill="1" applyBorder="1" applyAlignment="1" applyProtection="1">
      <alignment vertical="center"/>
    </xf>
    <xf numFmtId="0" fontId="5" fillId="0" borderId="0" xfId="0" applyFont="1" applyBorder="1" applyAlignment="1" applyProtection="1">
      <alignment vertical="center"/>
    </xf>
    <xf numFmtId="8" fontId="0" fillId="0" borderId="0" xfId="0" applyNumberFormat="1" applyBorder="1" applyAlignment="1" applyProtection="1">
      <alignment vertical="center"/>
    </xf>
    <xf numFmtId="167" fontId="2" fillId="0" borderId="1" xfId="0" applyNumberFormat="1" applyFont="1" applyBorder="1" applyAlignment="1" applyProtection="1">
      <alignment vertical="center"/>
      <protection locked="0"/>
    </xf>
    <xf numFmtId="40" fontId="0" fillId="0" borderId="0" xfId="0" applyNumberFormat="1" applyBorder="1" applyAlignment="1" applyProtection="1">
      <alignment vertical="center"/>
    </xf>
    <xf numFmtId="0" fontId="5" fillId="0" borderId="22" xfId="0" applyFont="1" applyBorder="1" applyAlignment="1" applyProtection="1">
      <alignment vertical="center"/>
      <protection locked="0"/>
    </xf>
    <xf numFmtId="0" fontId="5" fillId="0" borderId="0" xfId="0" applyFont="1" applyBorder="1" applyAlignment="1" applyProtection="1">
      <alignment vertical="center"/>
      <protection locked="0"/>
    </xf>
    <xf numFmtId="40" fontId="0" fillId="0" borderId="25" xfId="0" applyNumberFormat="1" applyBorder="1" applyAlignment="1" applyProtection="1">
      <alignment vertical="center"/>
      <protection locked="0"/>
    </xf>
    <xf numFmtId="167" fontId="2" fillId="0" borderId="26" xfId="0" applyNumberFormat="1" applyFont="1" applyBorder="1" applyAlignment="1" applyProtection="1">
      <alignment vertical="center"/>
    </xf>
    <xf numFmtId="0" fontId="2" fillId="0" borderId="0" xfId="0" applyFont="1" applyBorder="1" applyAlignment="1" applyProtection="1">
      <alignment vertical="center"/>
    </xf>
    <xf numFmtId="40" fontId="2" fillId="0" borderId="0" xfId="0" applyNumberFormat="1" applyFont="1" applyBorder="1" applyAlignment="1" applyProtection="1">
      <alignment vertical="center"/>
    </xf>
    <xf numFmtId="40" fontId="2" fillId="0" borderId="25" xfId="0" applyNumberFormat="1" applyFont="1" applyBorder="1" applyAlignment="1" applyProtection="1">
      <alignment vertical="center"/>
      <protection locked="0"/>
    </xf>
    <xf numFmtId="0" fontId="5" fillId="0" borderId="23" xfId="0" applyFont="1" applyBorder="1" applyAlignment="1" applyProtection="1">
      <alignment vertical="center"/>
    </xf>
    <xf numFmtId="0" fontId="11" fillId="0" borderId="20" xfId="0" applyFont="1" applyBorder="1" applyAlignment="1" applyProtection="1">
      <alignment horizontal="center" vertical="center"/>
    </xf>
    <xf numFmtId="0" fontId="0" fillId="0" borderId="23" xfId="0" applyBorder="1" applyAlignment="1" applyProtection="1">
      <alignment vertical="center"/>
    </xf>
    <xf numFmtId="0" fontId="7" fillId="2" borderId="15" xfId="0" applyFont="1" applyFill="1" applyBorder="1" applyAlignment="1" applyProtection="1">
      <alignment horizontal="centerContinuous" vertical="center" wrapText="1"/>
      <protection locked="0"/>
    </xf>
    <xf numFmtId="15" fontId="2" fillId="0" borderId="22" xfId="0" applyNumberFormat="1" applyFont="1" applyBorder="1" applyAlignment="1" applyProtection="1">
      <alignment vertical="center"/>
      <protection locked="0"/>
    </xf>
    <xf numFmtId="0" fontId="9" fillId="0" borderId="11" xfId="0" applyFont="1" applyBorder="1" applyAlignment="1" applyProtection="1">
      <alignment horizontal="center" vertical="center"/>
    </xf>
    <xf numFmtId="0" fontId="9" fillId="0" borderId="24" xfId="0" applyFont="1" applyBorder="1" applyAlignment="1" applyProtection="1">
      <alignment horizontal="center" vertical="center"/>
    </xf>
    <xf numFmtId="0" fontId="9" fillId="0" borderId="0" xfId="0" applyFont="1" applyFill="1" applyBorder="1" applyAlignment="1" applyProtection="1">
      <alignment vertical="center"/>
    </xf>
    <xf numFmtId="0" fontId="9" fillId="5" borderId="16" xfId="0" applyFont="1" applyFill="1" applyBorder="1" applyAlignment="1" applyProtection="1">
      <alignment vertical="center"/>
    </xf>
    <xf numFmtId="169" fontId="7" fillId="4" borderId="1" xfId="0" applyNumberFormat="1" applyFont="1" applyFill="1" applyBorder="1" applyAlignment="1" applyProtection="1">
      <alignment vertical="center"/>
    </xf>
    <xf numFmtId="0" fontId="7" fillId="2" borderId="15" xfId="0" applyFont="1" applyFill="1" applyBorder="1" applyAlignment="1" applyProtection="1">
      <alignment horizontal="center" vertical="center" wrapText="1"/>
    </xf>
    <xf numFmtId="0" fontId="0" fillId="0" borderId="0" xfId="0" applyAlignment="1" applyProtection="1">
      <alignment vertical="center" wrapText="1"/>
    </xf>
    <xf numFmtId="0" fontId="7" fillId="0" borderId="22" xfId="0" applyFont="1" applyFill="1" applyBorder="1" applyAlignment="1" applyProtection="1">
      <alignment horizontal="center" vertical="center"/>
    </xf>
    <xf numFmtId="0" fontId="7" fillId="0" borderId="0" xfId="0" applyFont="1" applyFill="1" applyBorder="1" applyAlignment="1" applyProtection="1">
      <alignment horizontal="center" vertical="center" wrapText="1"/>
    </xf>
    <xf numFmtId="0" fontId="7" fillId="0" borderId="11" xfId="0" applyFont="1" applyFill="1" applyBorder="1" applyAlignment="1" applyProtection="1">
      <alignment horizontal="center" vertical="center" wrapText="1"/>
    </xf>
    <xf numFmtId="165" fontId="0" fillId="0" borderId="22" xfId="0" applyNumberFormat="1" applyBorder="1" applyAlignment="1" applyProtection="1">
      <alignment vertical="center"/>
    </xf>
    <xf numFmtId="167" fontId="0" fillId="0" borderId="11" xfId="0" applyNumberFormat="1" applyBorder="1" applyAlignment="1" applyProtection="1">
      <alignment vertical="center"/>
    </xf>
    <xf numFmtId="0" fontId="7" fillId="0" borderId="22" xfId="0" applyFont="1" applyFill="1" applyBorder="1" applyAlignment="1" applyProtection="1">
      <alignment vertical="center"/>
    </xf>
    <xf numFmtId="166" fontId="0" fillId="7" borderId="27" xfId="0" applyNumberFormat="1" applyFill="1" applyBorder="1" applyAlignment="1" applyProtection="1">
      <alignment vertical="center"/>
    </xf>
    <xf numFmtId="167" fontId="0" fillId="7" borderId="28" xfId="0" applyNumberFormat="1" applyFill="1" applyBorder="1" applyAlignment="1" applyProtection="1">
      <alignment vertical="center"/>
    </xf>
    <xf numFmtId="167" fontId="0" fillId="7" borderId="29" xfId="0" applyNumberFormat="1" applyFill="1" applyBorder="1" applyAlignment="1" applyProtection="1">
      <alignment vertical="center"/>
    </xf>
    <xf numFmtId="0" fontId="15" fillId="0" borderId="22" xfId="0" applyNumberFormat="1" applyFont="1" applyFill="1" applyBorder="1" applyAlignment="1" applyProtection="1">
      <alignment vertical="center"/>
    </xf>
    <xf numFmtId="170" fontId="15" fillId="0" borderId="0" xfId="0" applyNumberFormat="1" applyFont="1" applyFill="1" applyBorder="1" applyAlignment="1" applyProtection="1">
      <alignment horizontal="right" vertical="center"/>
    </xf>
    <xf numFmtId="170" fontId="15" fillId="0" borderId="0" xfId="0" quotePrefix="1" applyNumberFormat="1" applyFont="1" applyFill="1" applyBorder="1" applyAlignment="1" applyProtection="1">
      <alignment horizontal="right" vertical="center"/>
    </xf>
    <xf numFmtId="170" fontId="15" fillId="0" borderId="11" xfId="0" applyNumberFormat="1" applyFont="1" applyFill="1" applyBorder="1" applyAlignment="1" applyProtection="1">
      <alignment horizontal="right" vertical="center"/>
    </xf>
    <xf numFmtId="0" fontId="0" fillId="0" borderId="30" xfId="0" applyBorder="1" applyAlignment="1" applyProtection="1">
      <alignment vertical="center"/>
    </xf>
    <xf numFmtId="0" fontId="7" fillId="0" borderId="23" xfId="0" applyFont="1" applyBorder="1" applyAlignment="1" applyProtection="1">
      <alignment vertical="center"/>
    </xf>
    <xf numFmtId="0" fontId="7" fillId="0" borderId="20" xfId="0" applyFont="1" applyBorder="1" applyAlignment="1" applyProtection="1">
      <alignment vertical="center"/>
    </xf>
    <xf numFmtId="168" fontId="0" fillId="0" borderId="20" xfId="0" applyNumberFormat="1" applyBorder="1" applyAlignment="1" applyProtection="1">
      <alignment vertical="center"/>
    </xf>
    <xf numFmtId="0" fontId="5" fillId="2" borderId="17" xfId="0" applyFont="1" applyFill="1" applyBorder="1" applyAlignment="1" applyProtection="1">
      <alignment horizontal="centerContinuous" vertical="center" wrapText="1"/>
    </xf>
    <xf numFmtId="0" fontId="5" fillId="2" borderId="15" xfId="0" applyFont="1" applyFill="1" applyBorder="1" applyAlignment="1" applyProtection="1">
      <alignment horizontal="center" vertical="center" wrapText="1"/>
    </xf>
    <xf numFmtId="0" fontId="7" fillId="0" borderId="0" xfId="0" applyFont="1" applyFill="1" applyBorder="1" applyAlignment="1" applyProtection="1">
      <alignment horizontal="centerContinuous" vertical="center" wrapText="1"/>
    </xf>
    <xf numFmtId="0" fontId="5" fillId="0" borderId="0" xfId="0" applyFont="1" applyFill="1" applyBorder="1" applyAlignment="1" applyProtection="1">
      <alignment horizontal="centerContinuous" vertical="center" wrapText="1"/>
    </xf>
    <xf numFmtId="0" fontId="5" fillId="0" borderId="0" xfId="0" applyFont="1" applyFill="1" applyBorder="1" applyAlignment="1" applyProtection="1">
      <alignment horizontal="centerContinuous" vertical="center"/>
    </xf>
    <xf numFmtId="0" fontId="5" fillId="0" borderId="11" xfId="0" applyFont="1" applyFill="1" applyBorder="1" applyAlignment="1" applyProtection="1">
      <alignment horizontal="center" vertical="center" wrapText="1"/>
    </xf>
    <xf numFmtId="0" fontId="0" fillId="0" borderId="0" xfId="0" applyFill="1" applyAlignment="1" applyProtection="1">
      <alignment vertical="center"/>
    </xf>
    <xf numFmtId="0" fontId="5" fillId="2" borderId="15" xfId="0" applyFont="1" applyFill="1" applyBorder="1" applyAlignment="1" applyProtection="1">
      <alignment horizontal="centerContinuous" vertical="center" wrapText="1"/>
    </xf>
    <xf numFmtId="0" fontId="5" fillId="0" borderId="11" xfId="0" applyFont="1" applyFill="1" applyBorder="1" applyAlignment="1" applyProtection="1">
      <alignment horizontal="centerContinuous" vertical="center" wrapText="1"/>
    </xf>
    <xf numFmtId="0" fontId="9" fillId="6" borderId="16" xfId="0" applyFont="1" applyFill="1" applyBorder="1" applyAlignment="1" applyProtection="1">
      <alignment vertical="center"/>
      <protection locked="0"/>
    </xf>
    <xf numFmtId="0" fontId="0" fillId="6" borderId="17" xfId="0" applyFill="1" applyBorder="1" applyAlignment="1" applyProtection="1">
      <alignment vertical="center"/>
      <protection locked="0"/>
    </xf>
    <xf numFmtId="0" fontId="0" fillId="6" borderId="15" xfId="0" applyFill="1" applyBorder="1" applyAlignment="1" applyProtection="1">
      <alignment vertical="center"/>
      <protection locked="0"/>
    </xf>
    <xf numFmtId="0" fontId="6" fillId="5" borderId="1" xfId="0" applyFont="1" applyFill="1" applyBorder="1" applyAlignment="1" applyProtection="1">
      <alignment vertical="center"/>
      <protection locked="0"/>
    </xf>
    <xf numFmtId="0" fontId="0" fillId="0" borderId="18" xfId="0" applyBorder="1" applyAlignment="1" applyProtection="1">
      <alignment vertical="center"/>
      <protection locked="0"/>
    </xf>
    <xf numFmtId="0" fontId="0" fillId="0" borderId="18" xfId="0" applyBorder="1" applyAlignment="1" applyProtection="1">
      <alignment horizontal="center" vertical="center"/>
      <protection locked="0"/>
    </xf>
    <xf numFmtId="0" fontId="0" fillId="0" borderId="21" xfId="0" applyBorder="1" applyAlignment="1" applyProtection="1">
      <alignment vertical="center"/>
      <protection locked="0"/>
    </xf>
    <xf numFmtId="0" fontId="0" fillId="0" borderId="22" xfId="0" applyBorder="1" applyAlignment="1" applyProtection="1">
      <alignment vertical="center"/>
      <protection locked="0"/>
    </xf>
    <xf numFmtId="0" fontId="0" fillId="0" borderId="0" xfId="0" applyBorder="1" applyAlignment="1" applyProtection="1">
      <alignment horizontal="center" vertical="center"/>
      <protection locked="0"/>
    </xf>
    <xf numFmtId="0" fontId="3" fillId="2" borderId="22" xfId="0" applyFont="1" applyFill="1" applyBorder="1" applyAlignment="1" applyProtection="1">
      <alignment horizontal="right" vertical="center"/>
      <protection locked="0"/>
    </xf>
    <xf numFmtId="165" fontId="5" fillId="2" borderId="0" xfId="0" applyNumberFormat="1" applyFont="1" applyFill="1" applyBorder="1" applyAlignment="1" applyProtection="1">
      <alignment horizontal="right" vertical="center"/>
      <protection locked="0"/>
    </xf>
    <xf numFmtId="0" fontId="7" fillId="2" borderId="0" xfId="0" applyFont="1" applyFill="1" applyBorder="1" applyAlignment="1" applyProtection="1">
      <alignment horizontal="center" vertical="center"/>
      <protection locked="0"/>
    </xf>
    <xf numFmtId="165" fontId="5" fillId="2" borderId="0" xfId="0" applyNumberFormat="1" applyFont="1" applyFill="1" applyBorder="1" applyAlignment="1" applyProtection="1">
      <alignment horizontal="left" vertical="center"/>
      <protection locked="0"/>
    </xf>
    <xf numFmtId="0" fontId="5" fillId="0" borderId="0" xfId="0" applyFont="1" applyFill="1" applyBorder="1" applyAlignment="1" applyProtection="1">
      <alignment horizontal="center" vertical="center"/>
      <protection locked="0"/>
    </xf>
    <xf numFmtId="0" fontId="7" fillId="4" borderId="31" xfId="0" applyFont="1" applyFill="1" applyBorder="1" applyAlignment="1" applyProtection="1">
      <alignment horizontal="center" vertical="center"/>
      <protection locked="0"/>
    </xf>
    <xf numFmtId="0" fontId="7" fillId="4" borderId="4" xfId="0" applyFont="1" applyFill="1" applyBorder="1" applyAlignment="1" applyProtection="1">
      <alignment horizontal="center" vertical="center"/>
      <protection locked="0"/>
    </xf>
    <xf numFmtId="0" fontId="7" fillId="0" borderId="0" xfId="0" applyFont="1" applyBorder="1" applyAlignment="1" applyProtection="1">
      <alignment horizontal="right" vertical="center"/>
      <protection locked="0"/>
    </xf>
    <xf numFmtId="0" fontId="0" fillId="0" borderId="0" xfId="0" quotePrefix="1" applyBorder="1" applyAlignment="1" applyProtection="1">
      <alignment horizontal="center" vertical="center"/>
      <protection locked="0"/>
    </xf>
    <xf numFmtId="164" fontId="8" fillId="4" borderId="4" xfId="1" applyNumberFormat="1" applyFont="1" applyFill="1" applyBorder="1" applyAlignment="1" applyProtection="1">
      <alignment horizontal="center" vertical="center"/>
      <protection locked="0"/>
    </xf>
    <xf numFmtId="0" fontId="12" fillId="0" borderId="0" xfId="0" applyFont="1" applyBorder="1" applyAlignment="1" applyProtection="1">
      <alignment horizontal="center" vertical="center"/>
      <protection locked="0"/>
    </xf>
    <xf numFmtId="0" fontId="8" fillId="0" borderId="0" xfId="0" applyFont="1" applyBorder="1" applyAlignment="1" applyProtection="1">
      <alignment horizontal="center" vertical="center"/>
      <protection locked="0"/>
    </xf>
    <xf numFmtId="0" fontId="0" fillId="4" borderId="4" xfId="0" applyFill="1" applyBorder="1" applyAlignment="1" applyProtection="1">
      <alignment vertical="center"/>
      <protection locked="0"/>
    </xf>
    <xf numFmtId="0" fontId="3" fillId="0" borderId="22" xfId="0" applyFont="1" applyBorder="1" applyAlignment="1" applyProtection="1">
      <alignment vertical="center"/>
      <protection locked="0"/>
    </xf>
    <xf numFmtId="165" fontId="0" fillId="0" borderId="0" xfId="0" applyNumberFormat="1" applyBorder="1" applyAlignment="1" applyProtection="1">
      <alignment horizontal="right" vertical="center"/>
      <protection locked="0"/>
    </xf>
    <xf numFmtId="0" fontId="5" fillId="0" borderId="0" xfId="0" applyFont="1" applyBorder="1" applyAlignment="1" applyProtection="1">
      <alignment horizontal="right" vertical="center"/>
      <protection locked="0"/>
    </xf>
    <xf numFmtId="8" fontId="0" fillId="0" borderId="25" xfId="0" applyNumberFormat="1" applyBorder="1" applyAlignment="1" applyProtection="1">
      <alignment vertical="center"/>
    </xf>
    <xf numFmtId="0" fontId="5" fillId="0" borderId="0" xfId="0" applyFont="1" applyBorder="1" applyAlignment="1" applyProtection="1">
      <alignment horizontal="right" vertical="center"/>
    </xf>
    <xf numFmtId="8" fontId="0" fillId="0" borderId="25" xfId="0" applyNumberFormat="1" applyBorder="1" applyAlignment="1" applyProtection="1">
      <alignment vertical="center"/>
      <protection locked="0"/>
    </xf>
    <xf numFmtId="0" fontId="13" fillId="0" borderId="0" xfId="0" applyFont="1" applyFill="1" applyBorder="1" applyAlignment="1" applyProtection="1">
      <alignment vertical="center"/>
      <protection locked="0"/>
    </xf>
    <xf numFmtId="8" fontId="5" fillId="7" borderId="1" xfId="0" applyNumberFormat="1" applyFont="1" applyFill="1" applyBorder="1" applyAlignment="1" applyProtection="1">
      <alignment vertical="center"/>
    </xf>
    <xf numFmtId="0" fontId="13" fillId="0" borderId="0" xfId="0" applyFont="1" applyFill="1" applyBorder="1" applyAlignment="1" applyProtection="1">
      <alignment vertical="center"/>
    </xf>
    <xf numFmtId="0" fontId="7" fillId="0" borderId="22" xfId="0" applyFont="1" applyBorder="1" applyAlignment="1" applyProtection="1">
      <alignment vertical="center"/>
      <protection locked="0"/>
    </xf>
    <xf numFmtId="0" fontId="0" fillId="0" borderId="0" xfId="0" applyBorder="1" applyAlignment="1" applyProtection="1">
      <alignment horizontal="right" vertical="center"/>
      <protection locked="0"/>
    </xf>
    <xf numFmtId="8" fontId="0" fillId="0" borderId="13" xfId="0" applyNumberFormat="1" applyBorder="1" applyAlignment="1" applyProtection="1">
      <alignment vertical="center"/>
    </xf>
    <xf numFmtId="0" fontId="14" fillId="4" borderId="1" xfId="0" applyFont="1" applyFill="1" applyBorder="1" applyAlignment="1" applyProtection="1">
      <alignment vertical="center"/>
      <protection locked="0"/>
    </xf>
    <xf numFmtId="0" fontId="0" fillId="0" borderId="23" xfId="0" applyBorder="1" applyAlignment="1" applyProtection="1">
      <alignment vertical="center"/>
      <protection locked="0"/>
    </xf>
    <xf numFmtId="0" fontId="0" fillId="0" borderId="20" xfId="0" applyBorder="1" applyAlignment="1" applyProtection="1">
      <alignment vertical="center"/>
      <protection locked="0"/>
    </xf>
    <xf numFmtId="0" fontId="0" fillId="0" borderId="20" xfId="0" applyBorder="1" applyAlignment="1" applyProtection="1">
      <alignment horizontal="center" vertical="center"/>
      <protection locked="0"/>
    </xf>
    <xf numFmtId="0" fontId="0" fillId="0" borderId="24" xfId="0" applyBorder="1" applyAlignment="1" applyProtection="1">
      <alignment vertical="center"/>
      <protection locked="0"/>
    </xf>
    <xf numFmtId="0" fontId="7" fillId="0" borderId="31" xfId="0" applyFont="1" applyBorder="1" applyAlignment="1" applyProtection="1">
      <alignment horizontal="center" vertical="center"/>
      <protection locked="0"/>
    </xf>
    <xf numFmtId="0" fontId="7" fillId="0" borderId="32" xfId="0" applyFont="1" applyBorder="1" applyAlignment="1" applyProtection="1">
      <alignment horizontal="center" vertical="center"/>
      <protection locked="0"/>
    </xf>
    <xf numFmtId="0" fontId="2" fillId="2" borderId="16" xfId="0" applyFont="1" applyFill="1" applyBorder="1" applyAlignment="1" applyProtection="1">
      <alignment vertical="center"/>
      <protection locked="0"/>
    </xf>
    <xf numFmtId="0" fontId="0" fillId="2" borderId="17" xfId="0" applyFill="1" applyBorder="1" applyAlignment="1">
      <alignment vertical="center"/>
    </xf>
    <xf numFmtId="0" fontId="0" fillId="2" borderId="15" xfId="0" applyFill="1" applyBorder="1" applyAlignment="1" applyProtection="1">
      <alignment vertical="center"/>
      <protection locked="0"/>
    </xf>
    <xf numFmtId="0" fontId="2" fillId="0" borderId="0" xfId="0" applyFont="1" applyFill="1" applyBorder="1" applyAlignment="1" applyProtection="1">
      <alignment vertical="center"/>
      <protection locked="0"/>
    </xf>
    <xf numFmtId="0" fontId="0" fillId="0" borderId="0" xfId="0" applyBorder="1" applyAlignment="1">
      <alignment vertical="center"/>
    </xf>
    <xf numFmtId="0" fontId="2" fillId="2" borderId="19" xfId="0" applyFont="1" applyFill="1" applyBorder="1" applyAlignment="1" applyProtection="1">
      <alignment vertical="center"/>
      <protection locked="0"/>
    </xf>
    <xf numFmtId="0" fontId="0" fillId="2" borderId="18" xfId="0" applyFill="1" applyBorder="1" applyAlignment="1">
      <alignment vertical="center"/>
    </xf>
    <xf numFmtId="0" fontId="0" fillId="2" borderId="21" xfId="0" applyFill="1" applyBorder="1" applyAlignment="1" applyProtection="1">
      <alignment vertical="center"/>
      <protection locked="0"/>
    </xf>
    <xf numFmtId="0" fontId="2" fillId="2" borderId="23" xfId="0" applyFont="1" applyFill="1" applyBorder="1" applyAlignment="1" applyProtection="1">
      <alignment vertical="center"/>
      <protection locked="0"/>
    </xf>
    <xf numFmtId="0" fontId="0" fillId="2" borderId="20" xfId="0" applyFill="1" applyBorder="1" applyAlignment="1">
      <alignment vertical="center"/>
    </xf>
    <xf numFmtId="0" fontId="0" fillId="2" borderId="24" xfId="0" applyFill="1" applyBorder="1" applyAlignment="1" applyProtection="1">
      <alignment vertical="center"/>
      <protection locked="0"/>
    </xf>
    <xf numFmtId="0" fontId="2" fillId="0" borderId="0" xfId="0" applyFont="1" applyFill="1" applyBorder="1" applyAlignment="1" applyProtection="1">
      <alignment vertical="center" wrapText="1"/>
      <protection locked="0"/>
    </xf>
    <xf numFmtId="0" fontId="0" fillId="3" borderId="19" xfId="0" applyFill="1" applyBorder="1" applyAlignment="1" applyProtection="1">
      <alignment vertical="center"/>
      <protection locked="0"/>
    </xf>
    <xf numFmtId="0" fontId="0" fillId="3" borderId="18" xfId="0" applyFill="1" applyBorder="1" applyAlignment="1">
      <alignment vertical="center"/>
    </xf>
    <xf numFmtId="0" fontId="0" fillId="3" borderId="18" xfId="0" applyFill="1" applyBorder="1" applyAlignment="1" applyProtection="1">
      <alignment vertical="center"/>
      <protection locked="0"/>
    </xf>
    <xf numFmtId="0" fontId="0" fillId="3" borderId="23" xfId="0" applyFill="1" applyBorder="1" applyAlignment="1" applyProtection="1">
      <alignment vertical="center"/>
      <protection locked="0"/>
    </xf>
    <xf numFmtId="0" fontId="0" fillId="3" borderId="20" xfId="0" applyFill="1" applyBorder="1" applyAlignment="1">
      <alignment vertical="center"/>
    </xf>
    <xf numFmtId="0" fontId="0" fillId="3" borderId="20" xfId="0" applyFill="1" applyBorder="1" applyAlignment="1" applyProtection="1">
      <alignment vertical="center"/>
      <protection locked="0"/>
    </xf>
    <xf numFmtId="0" fontId="0" fillId="2" borderId="18" xfId="0" applyFill="1" applyBorder="1" applyAlignment="1" applyProtection="1">
      <alignment vertical="center"/>
      <protection locked="0"/>
    </xf>
    <xf numFmtId="0" fontId="0" fillId="2" borderId="20" xfId="0"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2" borderId="23" xfId="0" applyFill="1" applyBorder="1" applyAlignment="1" applyProtection="1">
      <alignment vertical="center"/>
      <protection locked="0"/>
    </xf>
    <xf numFmtId="165" fontId="7" fillId="2" borderId="0" xfId="0" applyNumberFormat="1" applyFont="1" applyFill="1" applyBorder="1" applyAlignment="1" applyProtection="1">
      <alignment horizontal="left" vertical="center"/>
      <protection locked="0"/>
    </xf>
    <xf numFmtId="0" fontId="0" fillId="2" borderId="16" xfId="0" applyFill="1" applyBorder="1" applyAlignment="1" applyProtection="1">
      <alignment vertical="center"/>
      <protection locked="0"/>
    </xf>
    <xf numFmtId="0" fontId="0" fillId="2" borderId="19" xfId="0" applyFill="1" applyBorder="1" applyAlignment="1" applyProtection="1">
      <alignment vertical="center"/>
      <protection locked="0"/>
    </xf>
    <xf numFmtId="0" fontId="0" fillId="0" borderId="0" xfId="0" applyFill="1" applyBorder="1" applyAlignment="1" applyProtection="1">
      <alignment vertical="center" wrapText="1"/>
      <protection locked="0"/>
    </xf>
    <xf numFmtId="0" fontId="5" fillId="0" borderId="0" xfId="0" applyFont="1" applyBorder="1" applyAlignment="1" applyProtection="1">
      <alignment horizontal="center" vertical="center"/>
    </xf>
    <xf numFmtId="0" fontId="7" fillId="0" borderId="0" xfId="0" applyFont="1" applyBorder="1" applyAlignment="1" applyProtection="1">
      <alignment horizontal="center" vertical="center"/>
    </xf>
    <xf numFmtId="169" fontId="2" fillId="0" borderId="22" xfId="0" applyNumberFormat="1" applyFont="1" applyFill="1" applyBorder="1" applyAlignment="1" applyProtection="1">
      <alignment vertical="center"/>
      <protection locked="0"/>
    </xf>
    <xf numFmtId="0" fontId="7" fillId="4" borderId="1" xfId="0" applyFont="1" applyFill="1" applyBorder="1" applyAlignment="1" applyProtection="1">
      <alignment horizontal="center" vertical="center"/>
    </xf>
    <xf numFmtId="0" fontId="8" fillId="0" borderId="0" xfId="0" applyFont="1" applyAlignment="1">
      <alignment horizontal="justify"/>
    </xf>
    <xf numFmtId="8" fontId="5" fillId="0" borderId="0" xfId="0" applyNumberFormat="1" applyFont="1" applyFill="1" applyBorder="1" applyAlignment="1" applyProtection="1">
      <alignment vertical="center"/>
    </xf>
    <xf numFmtId="0" fontId="0" fillId="4" borderId="32" xfId="0" applyFill="1" applyBorder="1" applyAlignment="1" applyProtection="1">
      <alignment vertical="center"/>
      <protection locked="0"/>
    </xf>
    <xf numFmtId="40" fontId="5" fillId="4" borderId="4" xfId="0" applyNumberFormat="1" applyFont="1" applyFill="1" applyBorder="1" applyAlignment="1" applyProtection="1">
      <alignment vertical="center"/>
    </xf>
    <xf numFmtId="0" fontId="22" fillId="0" borderId="22" xfId="0" applyFont="1" applyBorder="1" applyAlignment="1" applyProtection="1">
      <alignment vertical="center"/>
      <protection locked="0"/>
    </xf>
    <xf numFmtId="164" fontId="0" fillId="0" borderId="0" xfId="1" applyNumberFormat="1" applyFont="1" applyAlignment="1" applyProtection="1">
      <alignment vertical="center"/>
      <protection locked="0"/>
    </xf>
    <xf numFmtId="0" fontId="23" fillId="0" borderId="22" xfId="0" applyFont="1" applyBorder="1" applyAlignment="1" applyProtection="1">
      <alignment vertical="center"/>
      <protection locked="0"/>
    </xf>
    <xf numFmtId="40" fontId="5" fillId="4" borderId="4" xfId="0" applyNumberFormat="1" applyFont="1" applyFill="1" applyBorder="1" applyAlignment="1" applyProtection="1">
      <alignment horizontal="center" vertical="center"/>
    </xf>
    <xf numFmtId="40" fontId="5" fillId="4" borderId="32" xfId="0" applyNumberFormat="1" applyFont="1" applyFill="1" applyBorder="1" applyAlignment="1" applyProtection="1">
      <alignment horizontal="center" vertical="center"/>
    </xf>
    <xf numFmtId="0" fontId="24" fillId="0" borderId="22" xfId="0" applyFont="1" applyBorder="1" applyAlignment="1" applyProtection="1">
      <alignment vertical="center"/>
      <protection locked="0"/>
    </xf>
    <xf numFmtId="0" fontId="0" fillId="0" borderId="0" xfId="0" quotePrefix="1" applyAlignment="1">
      <alignment horizontal="justify"/>
    </xf>
    <xf numFmtId="0" fontId="0" fillId="0" borderId="0" xfId="0" quotePrefix="1"/>
    <xf numFmtId="0" fontId="25" fillId="8" borderId="0" xfId="0" applyFont="1" applyFill="1" applyAlignment="1" applyProtection="1">
      <alignment horizontal="center" vertical="center"/>
      <protection locked="0"/>
    </xf>
    <xf numFmtId="0" fontId="15" fillId="0" borderId="20" xfId="0" applyFont="1" applyBorder="1" applyAlignment="1" applyProtection="1">
      <alignment vertical="center"/>
    </xf>
    <xf numFmtId="0" fontId="15" fillId="0" borderId="0" xfId="0" applyFont="1" applyAlignment="1" applyProtection="1">
      <alignment vertical="center"/>
    </xf>
    <xf numFmtId="0" fontId="2" fillId="0" borderId="0" xfId="2"/>
    <xf numFmtId="0" fontId="2" fillId="0" borderId="0" xfId="2" applyFont="1" applyFill="1" applyBorder="1" applyAlignment="1" applyProtection="1"/>
    <xf numFmtId="0" fontId="2" fillId="0" borderId="34" xfId="2" applyFont="1" applyFill="1" applyBorder="1" applyAlignment="1" applyProtection="1">
      <alignment horizontal="center" vertical="center"/>
      <protection locked="0"/>
    </xf>
    <xf numFmtId="0" fontId="2" fillId="0" borderId="35" xfId="2" applyFont="1" applyFill="1" applyBorder="1" applyAlignment="1" applyProtection="1">
      <alignment vertical="center"/>
      <protection locked="0"/>
    </xf>
    <xf numFmtId="0" fontId="2" fillId="11" borderId="36" xfId="2" applyFont="1" applyFill="1" applyBorder="1" applyAlignment="1" applyProtection="1">
      <alignment vertical="center"/>
      <protection locked="0"/>
    </xf>
    <xf numFmtId="0" fontId="2" fillId="11" borderId="37" xfId="2" applyFont="1" applyFill="1" applyBorder="1" applyAlignment="1" applyProtection="1">
      <alignment vertical="center"/>
      <protection locked="0"/>
    </xf>
    <xf numFmtId="0" fontId="2" fillId="11" borderId="38" xfId="2" applyFont="1" applyFill="1" applyBorder="1" applyAlignment="1" applyProtection="1">
      <alignment vertical="center"/>
      <protection locked="0"/>
    </xf>
    <xf numFmtId="173" fontId="2" fillId="0" borderId="39" xfId="2" applyNumberFormat="1" applyFont="1" applyFill="1" applyBorder="1" applyAlignment="1" applyProtection="1">
      <alignment vertical="center"/>
      <protection locked="0"/>
    </xf>
    <xf numFmtId="0" fontId="2" fillId="0" borderId="40" xfId="2" applyFont="1" applyFill="1" applyBorder="1" applyAlignment="1" applyProtection="1">
      <alignment vertical="center"/>
      <protection locked="0"/>
    </xf>
    <xf numFmtId="0" fontId="2" fillId="11" borderId="41" xfId="2" applyFont="1" applyFill="1" applyBorder="1" applyAlignment="1" applyProtection="1">
      <alignment vertical="center"/>
      <protection locked="0"/>
    </xf>
    <xf numFmtId="0" fontId="2" fillId="11" borderId="42" xfId="2" applyFont="1" applyFill="1" applyBorder="1" applyAlignment="1" applyProtection="1">
      <alignment vertical="center"/>
      <protection locked="0"/>
    </xf>
    <xf numFmtId="0" fontId="2" fillId="11" borderId="43" xfId="2" applyFont="1" applyFill="1" applyBorder="1" applyAlignment="1" applyProtection="1">
      <alignment vertical="center"/>
      <protection locked="0"/>
    </xf>
    <xf numFmtId="0" fontId="2" fillId="0" borderId="0" xfId="2" applyFont="1" applyFill="1" applyBorder="1" applyAlignment="1" applyProtection="1">
      <alignment horizontal="center"/>
    </xf>
    <xf numFmtId="171" fontId="2" fillId="0" borderId="0" xfId="2" applyNumberFormat="1" applyFont="1" applyFill="1" applyBorder="1" applyAlignment="1" applyProtection="1">
      <alignment vertical="center"/>
      <protection locked="0"/>
    </xf>
    <xf numFmtId="173" fontId="2" fillId="0" borderId="0" xfId="2" applyNumberFormat="1" applyFont="1" applyFill="1" applyBorder="1" applyAlignment="1" applyProtection="1">
      <alignment vertical="center"/>
      <protection locked="0"/>
    </xf>
    <xf numFmtId="173" fontId="2" fillId="0" borderId="0" xfId="2" applyNumberFormat="1" applyFont="1" applyFill="1" applyBorder="1" applyAlignment="1" applyProtection="1">
      <alignment horizontal="right" vertical="center"/>
      <protection locked="0"/>
    </xf>
    <xf numFmtId="0" fontId="2" fillId="0" borderId="0" xfId="2" applyFont="1" applyFill="1" applyBorder="1" applyAlignment="1" applyProtection="1">
      <alignment vertical="center"/>
      <protection locked="0"/>
    </xf>
    <xf numFmtId="0" fontId="2" fillId="0" borderId="0" xfId="2" applyFont="1" applyFill="1" applyBorder="1" applyAlignment="1" applyProtection="1">
      <alignment horizontal="center" vertical="center"/>
      <protection locked="0"/>
    </xf>
    <xf numFmtId="173" fontId="2" fillId="0" borderId="34" xfId="2" applyNumberFormat="1" applyFont="1" applyFill="1" applyBorder="1" applyAlignment="1" applyProtection="1">
      <alignment vertical="center"/>
      <protection locked="0"/>
    </xf>
    <xf numFmtId="0" fontId="2" fillId="0" borderId="44" xfId="2" applyFont="1" applyFill="1" applyBorder="1" applyAlignment="1" applyProtection="1">
      <alignment vertical="center"/>
      <protection locked="0"/>
    </xf>
    <xf numFmtId="0" fontId="2" fillId="0" borderId="45" xfId="2" applyFont="1" applyFill="1" applyBorder="1" applyAlignment="1" applyProtection="1">
      <alignment vertical="center"/>
      <protection locked="0"/>
    </xf>
    <xf numFmtId="0" fontId="2" fillId="0" borderId="0" xfId="2" applyFont="1" applyFill="1" applyBorder="1" applyAlignment="1" applyProtection="1">
      <alignment horizontal="right" vertical="center"/>
      <protection locked="0"/>
    </xf>
    <xf numFmtId="171" fontId="2" fillId="0" borderId="34" xfId="2" applyNumberFormat="1" applyFont="1" applyFill="1" applyBorder="1" applyAlignment="1" applyProtection="1">
      <alignment vertical="center"/>
      <protection locked="0"/>
    </xf>
    <xf numFmtId="0" fontId="2" fillId="10" borderId="37" xfId="2" applyFont="1" applyFill="1" applyBorder="1" applyAlignment="1" applyProtection="1">
      <alignment vertical="center"/>
      <protection locked="0"/>
    </xf>
    <xf numFmtId="0" fontId="2" fillId="10" borderId="37" xfId="2" applyFont="1" applyFill="1" applyBorder="1" applyAlignment="1" applyProtection="1">
      <alignment vertical="center"/>
    </xf>
    <xf numFmtId="0" fontId="2" fillId="10" borderId="38" xfId="2" applyFont="1" applyFill="1" applyBorder="1" applyAlignment="1" applyProtection="1">
      <alignment vertical="center"/>
      <protection locked="0"/>
    </xf>
    <xf numFmtId="171" fontId="2" fillId="0" borderId="39" xfId="2" applyNumberFormat="1" applyFont="1" applyFill="1" applyBorder="1" applyAlignment="1" applyProtection="1">
      <alignment vertical="center"/>
      <protection locked="0"/>
    </xf>
    <xf numFmtId="0" fontId="2" fillId="0" borderId="47" xfId="2" applyFont="1" applyFill="1" applyBorder="1" applyAlignment="1" applyProtection="1">
      <alignment vertical="center"/>
      <protection locked="0"/>
    </xf>
    <xf numFmtId="0" fontId="2" fillId="10" borderId="42" xfId="2" applyFont="1" applyFill="1" applyBorder="1" applyAlignment="1" applyProtection="1">
      <alignment vertical="center"/>
      <protection locked="0"/>
    </xf>
    <xf numFmtId="0" fontId="2" fillId="10" borderId="42" xfId="2" applyFont="1" applyFill="1" applyBorder="1" applyAlignment="1" applyProtection="1">
      <alignment vertical="center"/>
    </xf>
    <xf numFmtId="0" fontId="2" fillId="10" borderId="43" xfId="2" applyFont="1" applyFill="1" applyBorder="1" applyAlignment="1" applyProtection="1">
      <alignment vertical="center"/>
      <protection locked="0"/>
    </xf>
    <xf numFmtId="171" fontId="2" fillId="0" borderId="0" xfId="2" applyNumberFormat="1" applyFont="1" applyFill="1" applyBorder="1" applyAlignment="1" applyProtection="1">
      <alignment horizontal="right" vertical="center"/>
      <protection locked="0"/>
    </xf>
    <xf numFmtId="0" fontId="2" fillId="0" borderId="0" xfId="2" applyFont="1" applyFill="1" applyBorder="1" applyAlignment="1" applyProtection="1">
      <alignment vertical="center"/>
    </xf>
    <xf numFmtId="0" fontId="2" fillId="11" borderId="37" xfId="2" applyFont="1" applyFill="1" applyBorder="1" applyAlignment="1" applyProtection="1">
      <alignment vertical="center"/>
    </xf>
    <xf numFmtId="0" fontId="2" fillId="11" borderId="42" xfId="2" applyFont="1" applyFill="1" applyBorder="1" applyAlignment="1" applyProtection="1">
      <alignment vertical="center"/>
    </xf>
    <xf numFmtId="0" fontId="2" fillId="0" borderId="0" xfId="2" applyFont="1" applyFill="1" applyBorder="1" applyAlignment="1" applyProtection="1">
      <alignment vertical="center" wrapText="1"/>
      <protection locked="0"/>
    </xf>
    <xf numFmtId="172" fontId="2" fillId="9" borderId="33" xfId="2" applyNumberFormat="1" applyFont="1" applyFill="1" applyBorder="1" applyAlignment="1" applyProtection="1">
      <alignment horizontal="center" vertical="center"/>
      <protection locked="0"/>
    </xf>
    <xf numFmtId="171" fontId="2" fillId="0" borderId="48" xfId="2" applyNumberFormat="1" applyFont="1" applyFill="1" applyBorder="1" applyAlignment="1" applyProtection="1">
      <alignment vertical="center"/>
      <protection locked="0"/>
    </xf>
    <xf numFmtId="172" fontId="2" fillId="0" borderId="33" xfId="2" applyNumberFormat="1" applyFont="1" applyFill="1" applyBorder="1" applyAlignment="1" applyProtection="1">
      <alignment horizontal="center" vertical="center"/>
      <protection locked="0"/>
    </xf>
    <xf numFmtId="0" fontId="2" fillId="0" borderId="49" xfId="2" applyFont="1" applyFill="1" applyBorder="1" applyAlignment="1" applyProtection="1">
      <alignment vertical="center"/>
      <protection locked="0"/>
    </xf>
    <xf numFmtId="0" fontId="2" fillId="10" borderId="33" xfId="2" applyFont="1" applyFill="1" applyBorder="1" applyAlignment="1" applyProtection="1">
      <alignment horizontal="center" vertical="center"/>
      <protection locked="0"/>
    </xf>
    <xf numFmtId="0" fontId="2" fillId="11" borderId="46" xfId="2" applyFont="1" applyFill="1" applyBorder="1" applyAlignment="1" applyProtection="1">
      <alignment vertical="center"/>
      <protection locked="0"/>
    </xf>
    <xf numFmtId="0" fontId="2" fillId="11" borderId="50" xfId="2" applyFont="1" applyFill="1" applyBorder="1" applyAlignment="1" applyProtection="1">
      <alignment vertical="center"/>
    </xf>
    <xf numFmtId="0" fontId="2" fillId="11" borderId="51" xfId="2" applyFont="1" applyFill="1" applyBorder="1" applyAlignment="1" applyProtection="1">
      <alignment vertical="center"/>
      <protection locked="0"/>
    </xf>
    <xf numFmtId="0" fontId="5" fillId="9" borderId="52" xfId="2" applyFont="1" applyFill="1" applyBorder="1" applyAlignment="1" applyProtection="1">
      <alignment horizontal="center" vertical="center"/>
      <protection locked="0"/>
    </xf>
    <xf numFmtId="0" fontId="5" fillId="0" borderId="53" xfId="2" applyFont="1" applyFill="1" applyBorder="1" applyAlignment="1" applyProtection="1">
      <alignment horizontal="center" vertical="center"/>
      <protection locked="0"/>
    </xf>
    <xf numFmtId="0" fontId="5" fillId="9" borderId="54" xfId="2" applyFont="1" applyFill="1" applyBorder="1" applyAlignment="1" applyProtection="1">
      <alignment horizontal="center" vertical="center"/>
      <protection locked="0"/>
    </xf>
    <xf numFmtId="0" fontId="5" fillId="0" borderId="54" xfId="2" applyFont="1" applyFill="1" applyBorder="1" applyAlignment="1" applyProtection="1">
      <alignment horizontal="center" vertical="center"/>
      <protection locked="0"/>
    </xf>
    <xf numFmtId="0" fontId="5" fillId="0" borderId="0" xfId="2" applyFont="1" applyFill="1" applyBorder="1" applyAlignment="1" applyProtection="1">
      <alignment wrapText="1"/>
    </xf>
    <xf numFmtId="0" fontId="5" fillId="0" borderId="0" xfId="2" applyFont="1" applyFill="1" applyBorder="1" applyAlignment="1" applyProtection="1">
      <alignment horizontal="center"/>
    </xf>
    <xf numFmtId="0" fontId="5" fillId="0" borderId="0" xfId="2" applyFont="1" applyFill="1" applyBorder="1" applyAlignment="1" applyProtection="1">
      <alignment horizontal="center" vertical="center"/>
      <protection locked="0"/>
    </xf>
    <xf numFmtId="0" fontId="5" fillId="0" borderId="0" xfId="2" applyFont="1" applyFill="1" applyBorder="1" applyAlignment="1" applyProtection="1">
      <alignment horizontal="center" vertical="center"/>
    </xf>
    <xf numFmtId="49" fontId="5" fillId="0" borderId="0" xfId="2" applyNumberFormat="1" applyFont="1" applyFill="1" applyBorder="1" applyAlignment="1" applyProtection="1">
      <alignment horizontal="center" vertical="center"/>
      <protection locked="0"/>
    </xf>
    <xf numFmtId="0" fontId="5" fillId="0" borderId="0" xfId="2" applyFont="1" applyAlignment="1">
      <alignment horizontal="center" vertical="center" wrapText="1"/>
    </xf>
    <xf numFmtId="0" fontId="0" fillId="3" borderId="31" xfId="0" applyFill="1" applyBorder="1" applyAlignment="1" applyProtection="1">
      <alignment horizontal="center" vertical="center"/>
      <protection locked="0"/>
    </xf>
    <xf numFmtId="0" fontId="0" fillId="0" borderId="32" xfId="0" applyBorder="1" applyAlignment="1">
      <alignment vertical="center"/>
    </xf>
    <xf numFmtId="0" fontId="0" fillId="3" borderId="21" xfId="0" applyFill="1" applyBorder="1" applyAlignment="1" applyProtection="1">
      <alignment horizontal="center" vertical="center"/>
      <protection locked="0"/>
    </xf>
    <xf numFmtId="0" fontId="0" fillId="0" borderId="24" xfId="0" applyBorder="1" applyAlignment="1">
      <alignment vertical="center"/>
    </xf>
    <xf numFmtId="173" fontId="0" fillId="0" borderId="31" xfId="0" applyNumberFormat="1" applyBorder="1" applyAlignment="1" applyProtection="1">
      <alignment horizontal="right" vertical="center"/>
      <protection locked="0"/>
    </xf>
    <xf numFmtId="173" fontId="0" fillId="0" borderId="32" xfId="0" applyNumberFormat="1" applyBorder="1" applyAlignment="1" applyProtection="1">
      <alignment horizontal="right" vertical="center"/>
      <protection locked="0"/>
    </xf>
    <xf numFmtId="173" fontId="0" fillId="4" borderId="31" xfId="0" applyNumberFormat="1" applyFill="1" applyBorder="1" applyAlignment="1" applyProtection="1">
      <alignment horizontal="right" vertical="center"/>
      <protection locked="0"/>
    </xf>
    <xf numFmtId="173" fontId="0" fillId="4" borderId="32" xfId="0" applyNumberFormat="1" applyFill="1" applyBorder="1" applyAlignment="1" applyProtection="1">
      <alignment horizontal="right" vertical="center"/>
      <protection locked="0"/>
    </xf>
    <xf numFmtId="172" fontId="0" fillId="0" borderId="31" xfId="0" applyNumberFormat="1" applyBorder="1" applyAlignment="1" applyProtection="1">
      <alignment horizontal="right" vertical="center"/>
      <protection locked="0"/>
    </xf>
    <xf numFmtId="172" fontId="0" fillId="0" borderId="32" xfId="0" applyNumberFormat="1" applyBorder="1" applyAlignment="1" applyProtection="1">
      <alignment horizontal="right" vertical="center"/>
      <protection locked="0"/>
    </xf>
    <xf numFmtId="171" fontId="0" fillId="0" borderId="31" xfId="0" applyNumberFormat="1" applyBorder="1" applyAlignment="1" applyProtection="1">
      <alignment horizontal="right" vertical="center"/>
      <protection locked="0"/>
    </xf>
    <xf numFmtId="171" fontId="0" fillId="0" borderId="32" xfId="0" applyNumberFormat="1" applyBorder="1" applyAlignment="1" applyProtection="1">
      <alignment horizontal="right" vertical="center"/>
      <protection locked="0"/>
    </xf>
    <xf numFmtId="172" fontId="0" fillId="4" borderId="31" xfId="0" applyNumberFormat="1" applyFill="1" applyBorder="1" applyAlignment="1" applyProtection="1">
      <alignment horizontal="right" vertical="center"/>
      <protection locked="0"/>
    </xf>
    <xf numFmtId="172" fontId="0" fillId="4" borderId="32" xfId="0" applyNumberFormat="1" applyFill="1" applyBorder="1" applyAlignment="1" applyProtection="1">
      <alignment horizontal="right" vertical="center"/>
      <protection locked="0"/>
    </xf>
    <xf numFmtId="0" fontId="0" fillId="0" borderId="32" xfId="0" applyBorder="1" applyAlignment="1" applyProtection="1">
      <alignment horizontal="right" vertical="center"/>
      <protection locked="0"/>
    </xf>
    <xf numFmtId="0" fontId="0" fillId="4" borderId="32" xfId="0" applyFill="1" applyBorder="1" applyAlignment="1" applyProtection="1">
      <alignment horizontal="right" vertical="center"/>
      <protection locked="0"/>
    </xf>
    <xf numFmtId="173" fontId="0" fillId="0" borderId="21" xfId="0" applyNumberFormat="1" applyBorder="1" applyAlignment="1" applyProtection="1">
      <alignment horizontal="right" vertical="center"/>
      <protection locked="0"/>
    </xf>
    <xf numFmtId="173" fontId="0" fillId="0" borderId="24" xfId="0" applyNumberFormat="1" applyBorder="1" applyAlignment="1" applyProtection="1">
      <alignment horizontal="right" vertical="center"/>
      <protection locked="0"/>
    </xf>
    <xf numFmtId="0" fontId="0" fillId="0" borderId="24" xfId="0" applyBorder="1" applyAlignment="1" applyProtection="1">
      <alignment horizontal="right" vertical="center"/>
      <protection locked="0"/>
    </xf>
    <xf numFmtId="0" fontId="2" fillId="10" borderId="33" xfId="2" applyFont="1" applyFill="1" applyBorder="1" applyAlignment="1" applyProtection="1">
      <alignment horizontal="center" vertical="center"/>
      <protection locked="0"/>
    </xf>
    <xf numFmtId="172" fontId="2" fillId="0" borderId="33" xfId="2" applyNumberFormat="1" applyFont="1" applyFill="1" applyBorder="1" applyAlignment="1" applyProtection="1">
      <alignment horizontal="center" vertical="center"/>
      <protection locked="0"/>
    </xf>
    <xf numFmtId="172" fontId="2" fillId="9" borderId="33" xfId="2" applyNumberFormat="1" applyFont="1" applyFill="1" applyBorder="1" applyAlignment="1" applyProtection="1">
      <alignment horizontal="center" vertical="center"/>
      <protection locked="0"/>
    </xf>
    <xf numFmtId="0" fontId="2" fillId="10" borderId="46" xfId="2" applyFont="1" applyFill="1" applyBorder="1" applyAlignment="1" applyProtection="1">
      <alignment horizontal="center" vertical="center"/>
      <protection locked="0"/>
    </xf>
    <xf numFmtId="0" fontId="6" fillId="12" borderId="33" xfId="2" applyFont="1" applyFill="1" applyBorder="1" applyAlignment="1" applyProtection="1">
      <alignment vertical="center"/>
      <protection locked="0"/>
    </xf>
    <xf numFmtId="49" fontId="2" fillId="0" borderId="0" xfId="2" applyNumberFormat="1" applyFont="1" applyFill="1" applyBorder="1" applyAlignment="1" applyProtection="1">
      <alignment horizontal="left" vertical="center"/>
      <protection locked="0"/>
    </xf>
    <xf numFmtId="49" fontId="2" fillId="0" borderId="0" xfId="2" applyNumberFormat="1" applyFont="1" applyFill="1" applyBorder="1" applyAlignment="1" applyProtection="1"/>
    <xf numFmtId="0" fontId="5" fillId="13" borderId="0" xfId="2" applyFont="1" applyFill="1" applyBorder="1" applyAlignment="1" applyProtection="1">
      <alignment horizontal="center" vertical="center"/>
      <protection locked="0"/>
    </xf>
    <xf numFmtId="49" fontId="2" fillId="0" borderId="0" xfId="2" applyNumberFormat="1" applyFont="1" applyFill="1" applyBorder="1" applyAlignment="1" applyProtection="1">
      <alignment vertical="center"/>
      <protection locked="0"/>
    </xf>
    <xf numFmtId="0" fontId="6" fillId="12" borderId="0" xfId="2" applyFont="1" applyFill="1" applyBorder="1" applyAlignment="1" applyProtection="1">
      <alignment horizontal="center" vertical="center" wrapText="1"/>
      <protection locked="0"/>
    </xf>
    <xf numFmtId="0" fontId="6" fillId="12" borderId="0" xfId="2" applyFont="1" applyFill="1" applyBorder="1" applyAlignment="1">
      <alignment horizontal="center" vertical="center"/>
    </xf>
  </cellXfs>
  <cellStyles count="3">
    <cellStyle name="Normal" xfId="0" builtinId="0"/>
    <cellStyle name="Normal 2" xfId="2" xr:uid="{FA04395A-A0A5-4E2D-A920-4BC77210B302}"/>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861060</xdr:colOff>
          <xdr:row>37</xdr:row>
          <xdr:rowOff>0</xdr:rowOff>
        </xdr:from>
        <xdr:to>
          <xdr:col>8</xdr:col>
          <xdr:colOff>0</xdr:colOff>
          <xdr:row>39</xdr:row>
          <xdr:rowOff>152400</xdr:rowOff>
        </xdr:to>
        <xdr:sp macro="" textlink="">
          <xdr:nvSpPr>
            <xdr:cNvPr id="21505" name="Push Button"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File Return</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2:K25"/>
  <sheetViews>
    <sheetView workbookViewId="0">
      <selection activeCell="B3" sqref="B3"/>
    </sheetView>
  </sheetViews>
  <sheetFormatPr defaultColWidth="9.109375" defaultRowHeight="18" x14ac:dyDescent="0.35"/>
  <cols>
    <col min="1" max="1" width="22.6640625" style="12" bestFit="1" customWidth="1"/>
    <col min="2" max="2" width="62.109375" style="12" customWidth="1"/>
    <col min="3" max="3" width="10" style="12" customWidth="1"/>
    <col min="4" max="16384" width="9.109375" style="12"/>
  </cols>
  <sheetData>
    <row r="2" spans="1:11" ht="38.4" x14ac:dyDescent="0.35">
      <c r="B2" s="252" t="s">
        <v>185</v>
      </c>
      <c r="C2" s="57"/>
      <c r="D2" s="57"/>
      <c r="E2" s="57"/>
      <c r="F2" s="57"/>
      <c r="G2" s="57"/>
      <c r="H2" s="54"/>
      <c r="I2" s="54"/>
      <c r="J2" s="13"/>
      <c r="K2" s="13"/>
    </row>
    <row r="4" spans="1:11" x14ac:dyDescent="0.35">
      <c r="A4" s="3"/>
      <c r="B4" s="3"/>
      <c r="C4" s="3"/>
      <c r="D4" s="3"/>
      <c r="E4" s="3"/>
      <c r="F4" s="3"/>
      <c r="G4" s="3"/>
      <c r="H4" s="3"/>
    </row>
    <row r="5" spans="1:11" x14ac:dyDescent="0.35">
      <c r="A5" s="3" t="s">
        <v>86</v>
      </c>
      <c r="B5" s="5" t="s">
        <v>175</v>
      </c>
      <c r="C5" s="3"/>
      <c r="D5" s="3"/>
      <c r="E5" s="3"/>
      <c r="F5" s="3"/>
      <c r="G5" s="3"/>
      <c r="H5" s="3"/>
    </row>
    <row r="6" spans="1:11" x14ac:dyDescent="0.35">
      <c r="A6" s="4"/>
      <c r="B6" s="14"/>
      <c r="C6" s="14"/>
      <c r="D6" s="5"/>
      <c r="E6" s="5"/>
      <c r="F6" s="3"/>
      <c r="G6" s="3"/>
      <c r="H6" s="3"/>
    </row>
    <row r="7" spans="1:11" x14ac:dyDescent="0.35">
      <c r="A7" s="5" t="s">
        <v>120</v>
      </c>
      <c r="B7" s="58">
        <v>40999</v>
      </c>
      <c r="C7" s="14"/>
      <c r="D7" s="5"/>
      <c r="E7" s="5"/>
      <c r="F7" s="3"/>
      <c r="G7" s="3"/>
      <c r="H7" s="3"/>
    </row>
    <row r="8" spans="1:11" x14ac:dyDescent="0.35">
      <c r="A8" s="4"/>
      <c r="B8" s="14"/>
      <c r="C8" s="14"/>
      <c r="D8" s="5"/>
      <c r="E8" s="5"/>
      <c r="F8" s="3"/>
      <c r="G8" s="3"/>
      <c r="H8" s="3"/>
    </row>
    <row r="9" spans="1:11" x14ac:dyDescent="0.35">
      <c r="A9" s="5" t="s">
        <v>81</v>
      </c>
      <c r="B9" s="5"/>
      <c r="C9" s="5"/>
      <c r="D9" s="5"/>
      <c r="E9" s="5"/>
      <c r="F9" s="3"/>
      <c r="G9" s="3"/>
      <c r="H9" s="3"/>
    </row>
    <row r="10" spans="1:11" x14ac:dyDescent="0.35">
      <c r="A10" s="5" t="s">
        <v>82</v>
      </c>
      <c r="B10" s="5"/>
      <c r="C10" s="5"/>
      <c r="D10" s="5"/>
      <c r="E10" s="5"/>
      <c r="F10" s="3"/>
      <c r="G10" s="3"/>
      <c r="H10" s="3"/>
    </row>
    <row r="11" spans="1:11" x14ac:dyDescent="0.35">
      <c r="A11" s="5" t="s">
        <v>83</v>
      </c>
      <c r="C11" s="5"/>
      <c r="D11" s="5"/>
      <c r="E11" s="5"/>
      <c r="F11" s="3"/>
      <c r="G11" s="3"/>
      <c r="H11" s="3"/>
    </row>
    <row r="12" spans="1:11" x14ac:dyDescent="0.35">
      <c r="A12" s="5" t="s">
        <v>84</v>
      </c>
      <c r="B12" s="5"/>
      <c r="C12" s="5"/>
      <c r="D12" s="5"/>
      <c r="E12" s="5"/>
      <c r="F12" s="3"/>
      <c r="G12" s="3"/>
      <c r="H12" s="3"/>
    </row>
    <row r="13" spans="1:11" x14ac:dyDescent="0.35">
      <c r="A13" s="5" t="s">
        <v>85</v>
      </c>
      <c r="B13" s="5"/>
      <c r="C13" s="5"/>
      <c r="D13" s="5"/>
      <c r="E13" s="5"/>
      <c r="F13" s="3"/>
      <c r="G13" s="3"/>
      <c r="H13" s="3"/>
    </row>
    <row r="14" spans="1:11" x14ac:dyDescent="0.35">
      <c r="A14" s="5"/>
      <c r="B14" s="5"/>
      <c r="C14" s="5"/>
      <c r="D14" s="5"/>
      <c r="E14" s="5"/>
      <c r="F14" s="3"/>
      <c r="G14" s="3"/>
      <c r="H14" s="3"/>
    </row>
    <row r="15" spans="1:11" x14ac:dyDescent="0.35">
      <c r="A15" s="5" t="s">
        <v>114</v>
      </c>
      <c r="B15" s="5"/>
      <c r="C15" s="5"/>
      <c r="D15" s="5"/>
      <c r="E15" s="5"/>
      <c r="F15" s="3"/>
      <c r="G15" s="3"/>
      <c r="H15" s="3"/>
    </row>
    <row r="16" spans="1:11" x14ac:dyDescent="0.35">
      <c r="A16" s="5" t="s">
        <v>115</v>
      </c>
      <c r="B16" s="5"/>
      <c r="C16" s="5"/>
      <c r="D16" s="5"/>
      <c r="E16" s="5"/>
      <c r="F16" s="3"/>
      <c r="G16" s="3"/>
      <c r="H16" s="3"/>
    </row>
    <row r="17" spans="1:8" x14ac:dyDescent="0.35">
      <c r="A17" s="5" t="s">
        <v>116</v>
      </c>
      <c r="B17" s="5"/>
      <c r="C17" s="5"/>
      <c r="D17" s="5"/>
      <c r="E17" s="5"/>
      <c r="F17" s="3"/>
      <c r="G17" s="3"/>
      <c r="H17" s="3"/>
    </row>
    <row r="18" spans="1:8" x14ac:dyDescent="0.35">
      <c r="A18" s="5"/>
      <c r="B18" s="5"/>
      <c r="C18" s="5"/>
      <c r="D18" s="5"/>
      <c r="E18" s="5"/>
      <c r="F18" s="3"/>
      <c r="G18" s="3"/>
      <c r="H18" s="3"/>
    </row>
    <row r="19" spans="1:8" x14ac:dyDescent="0.35">
      <c r="A19" s="12" t="s">
        <v>117</v>
      </c>
      <c r="C19" s="5"/>
      <c r="D19" s="5"/>
      <c r="E19" s="5"/>
      <c r="F19" s="3"/>
      <c r="G19" s="3"/>
      <c r="H19" s="3"/>
    </row>
    <row r="20" spans="1:8" x14ac:dyDescent="0.35">
      <c r="A20" s="5"/>
      <c r="B20" s="5"/>
      <c r="C20" s="5"/>
      <c r="D20" s="5"/>
      <c r="E20" s="5"/>
      <c r="F20" s="3"/>
      <c r="G20" s="3"/>
      <c r="H20" s="3"/>
    </row>
    <row r="21" spans="1:8" x14ac:dyDescent="0.35">
      <c r="A21" s="5"/>
      <c r="B21" s="5"/>
      <c r="C21" s="5"/>
      <c r="D21" s="5"/>
      <c r="E21" s="5"/>
      <c r="F21" s="3"/>
      <c r="G21" s="3"/>
      <c r="H21" s="3"/>
    </row>
    <row r="22" spans="1:8" x14ac:dyDescent="0.35">
      <c r="A22" s="3"/>
      <c r="B22" s="3"/>
      <c r="C22" s="3"/>
      <c r="D22" s="3"/>
      <c r="E22" s="3"/>
      <c r="F22" s="3"/>
      <c r="G22" s="3"/>
      <c r="H22" s="3"/>
    </row>
    <row r="23" spans="1:8" x14ac:dyDescent="0.35">
      <c r="A23" s="3"/>
      <c r="B23" s="3"/>
      <c r="C23" s="3"/>
      <c r="D23" s="3"/>
      <c r="E23" s="3"/>
      <c r="F23" s="3"/>
      <c r="G23" s="3"/>
      <c r="H23" s="3"/>
    </row>
    <row r="24" spans="1:8" x14ac:dyDescent="0.35">
      <c r="A24" s="3"/>
      <c r="B24" s="3"/>
      <c r="C24" s="3"/>
      <c r="D24" s="3"/>
      <c r="E24" s="3"/>
      <c r="F24" s="3"/>
      <c r="G24" s="3"/>
      <c r="H24" s="3"/>
    </row>
    <row r="25" spans="1:8" x14ac:dyDescent="0.35">
      <c r="A25" s="3"/>
      <c r="B25" s="3"/>
      <c r="C25" s="3"/>
      <c r="D25" s="3"/>
      <c r="E25" s="3"/>
      <c r="F25" s="3"/>
      <c r="G25" s="3"/>
      <c r="H25" s="3"/>
    </row>
  </sheetData>
  <customSheetViews>
    <customSheetView guid="{93A5533C-1BF0-4CFD-B527-DBAD1AD08F71}" showRuler="0">
      <pageMargins left="0.94488188976377963" right="0.55118110236220474" top="0.98425196850393704" bottom="0.98425196850393704" header="0.51181102362204722" footer="0.51181102362204722"/>
      <pageSetup paperSize="9" orientation="portrait" r:id="rId1"/>
      <headerFooter alignWithMargins="0"/>
    </customSheetView>
  </customSheetViews>
  <phoneticPr fontId="0" type="noConversion"/>
  <pageMargins left="0.94488188976377963" right="0.55118110236220474" top="0.98425196850393704" bottom="0.98425196850393704" header="0.51181102362204722" footer="0.51181102362204722"/>
  <pageSetup paperSize="9" orientation="portrait" r:id="rId2"/>
  <headerFooter alignWithMargins="0">
    <oddFooter>&amp;L&amp;Z&amp;F\&amp;A&amp;R&amp;D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45"/>
  <sheetViews>
    <sheetView showGridLines="0" workbookViewId="0">
      <selection activeCell="A3" sqref="A3"/>
    </sheetView>
  </sheetViews>
  <sheetFormatPr defaultRowHeight="13.2" x14ac:dyDescent="0.25"/>
  <cols>
    <col min="1" max="1" width="82" customWidth="1"/>
  </cols>
  <sheetData>
    <row r="1" spans="1:1" ht="17.399999999999999" x14ac:dyDescent="0.3">
      <c r="A1" s="2" t="s">
        <v>0</v>
      </c>
    </row>
    <row r="2" spans="1:1" ht="13.8" x14ac:dyDescent="0.25">
      <c r="A2" s="1" t="s">
        <v>1</v>
      </c>
    </row>
    <row r="3" spans="1:1" ht="13.8" x14ac:dyDescent="0.25">
      <c r="A3" s="1"/>
    </row>
    <row r="4" spans="1:1" ht="13.8" x14ac:dyDescent="0.25">
      <c r="A4" s="1" t="s">
        <v>2</v>
      </c>
    </row>
    <row r="5" spans="1:1" ht="13.8" x14ac:dyDescent="0.25">
      <c r="A5" s="1"/>
    </row>
    <row r="6" spans="1:1" ht="13.8" x14ac:dyDescent="0.25">
      <c r="A6" s="1" t="s">
        <v>3</v>
      </c>
    </row>
    <row r="9" spans="1:1" x14ac:dyDescent="0.25">
      <c r="A9" s="10" t="s">
        <v>140</v>
      </c>
    </row>
    <row r="10" spans="1:1" x14ac:dyDescent="0.25">
      <c r="A10" s="10"/>
    </row>
    <row r="11" spans="1:1" ht="26.4" x14ac:dyDescent="0.25">
      <c r="A11" s="10" t="s">
        <v>144</v>
      </c>
    </row>
    <row r="12" spans="1:1" x14ac:dyDescent="0.25">
      <c r="A12" s="9"/>
    </row>
    <row r="13" spans="1:1" ht="52.8" x14ac:dyDescent="0.25">
      <c r="A13" s="10" t="s">
        <v>176</v>
      </c>
    </row>
    <row r="14" spans="1:1" x14ac:dyDescent="0.25">
      <c r="A14" s="9"/>
    </row>
    <row r="15" spans="1:1" x14ac:dyDescent="0.25">
      <c r="A15" s="10" t="s">
        <v>145</v>
      </c>
    </row>
    <row r="16" spans="1:1" x14ac:dyDescent="0.25">
      <c r="A16" s="10" t="s">
        <v>72</v>
      </c>
    </row>
    <row r="17" spans="1:1" x14ac:dyDescent="0.25">
      <c r="A17" s="10" t="s">
        <v>73</v>
      </c>
    </row>
    <row r="18" spans="1:1" x14ac:dyDescent="0.25">
      <c r="A18" s="10" t="s">
        <v>88</v>
      </c>
    </row>
    <row r="19" spans="1:1" x14ac:dyDescent="0.25">
      <c r="A19" s="10" t="s">
        <v>74</v>
      </c>
    </row>
    <row r="20" spans="1:1" x14ac:dyDescent="0.25">
      <c r="A20" s="10" t="s">
        <v>146</v>
      </c>
    </row>
    <row r="21" spans="1:1" x14ac:dyDescent="0.25">
      <c r="A21" s="9"/>
    </row>
    <row r="22" spans="1:1" x14ac:dyDescent="0.25">
      <c r="A22" s="10" t="s">
        <v>75</v>
      </c>
    </row>
    <row r="23" spans="1:1" x14ac:dyDescent="0.25">
      <c r="A23" s="10"/>
    </row>
    <row r="24" spans="1:1" x14ac:dyDescent="0.25">
      <c r="A24" s="10" t="s">
        <v>127</v>
      </c>
    </row>
    <row r="25" spans="1:1" x14ac:dyDescent="0.25">
      <c r="A25" s="9"/>
    </row>
    <row r="26" spans="1:1" ht="39.6" x14ac:dyDescent="0.25">
      <c r="A26" s="10" t="s">
        <v>147</v>
      </c>
    </row>
    <row r="27" spans="1:1" ht="26.4" x14ac:dyDescent="0.25">
      <c r="A27" s="10" t="s">
        <v>141</v>
      </c>
    </row>
    <row r="28" spans="1:1" x14ac:dyDescent="0.25">
      <c r="A28" s="9"/>
    </row>
    <row r="29" spans="1:1" ht="26.4" x14ac:dyDescent="0.25">
      <c r="A29" s="10" t="s">
        <v>121</v>
      </c>
    </row>
    <row r="30" spans="1:1" x14ac:dyDescent="0.25">
      <c r="A30" s="9"/>
    </row>
    <row r="31" spans="1:1" ht="26.4" x14ac:dyDescent="0.25">
      <c r="A31" s="10" t="s">
        <v>148</v>
      </c>
    </row>
    <row r="32" spans="1:1" x14ac:dyDescent="0.25">
      <c r="A32" s="7"/>
    </row>
    <row r="33" spans="1:1" x14ac:dyDescent="0.25">
      <c r="A33" s="7"/>
    </row>
    <row r="34" spans="1:1" x14ac:dyDescent="0.25">
      <c r="A34" s="240" t="s">
        <v>170</v>
      </c>
    </row>
    <row r="35" spans="1:1" x14ac:dyDescent="0.25">
      <c r="A35" s="250" t="s">
        <v>181</v>
      </c>
    </row>
    <row r="36" spans="1:1" x14ac:dyDescent="0.25">
      <c r="A36" s="7" t="s">
        <v>182</v>
      </c>
    </row>
    <row r="37" spans="1:1" x14ac:dyDescent="0.25">
      <c r="A37" s="250" t="s">
        <v>173</v>
      </c>
    </row>
    <row r="38" spans="1:1" x14ac:dyDescent="0.25">
      <c r="A38" s="250" t="s">
        <v>183</v>
      </c>
    </row>
    <row r="39" spans="1:1" x14ac:dyDescent="0.25">
      <c r="A39" s="250" t="s">
        <v>184</v>
      </c>
    </row>
    <row r="40" spans="1:1" x14ac:dyDescent="0.25">
      <c r="A40" s="7"/>
    </row>
    <row r="41" spans="1:1" x14ac:dyDescent="0.25">
      <c r="A41" s="240" t="s">
        <v>169</v>
      </c>
    </row>
    <row r="42" spans="1:1" x14ac:dyDescent="0.25">
      <c r="A42" s="250" t="s">
        <v>171</v>
      </c>
    </row>
    <row r="43" spans="1:1" x14ac:dyDescent="0.25">
      <c r="A43" s="250" t="s">
        <v>172</v>
      </c>
    </row>
    <row r="44" spans="1:1" x14ac:dyDescent="0.25">
      <c r="A44" s="250" t="s">
        <v>173</v>
      </c>
    </row>
    <row r="45" spans="1:1" x14ac:dyDescent="0.25">
      <c r="A45" s="251" t="s">
        <v>174</v>
      </c>
    </row>
  </sheetData>
  <customSheetViews>
    <customSheetView guid="{93A5533C-1BF0-4CFD-B527-DBAD1AD08F71}" showGridLines="0" showRuler="0">
      <pageMargins left="0.94488188976377963" right="0.74803149606299213" top="0.98425196850393704" bottom="0.98425196850393704" header="0.51181102362204722" footer="0.51181102362204722"/>
      <pageSetup paperSize="9" orientation="portrait" r:id="rId1"/>
      <headerFooter alignWithMargins="0"/>
    </customSheetView>
  </customSheetViews>
  <phoneticPr fontId="0" type="noConversion"/>
  <pageMargins left="0.94488188976377963" right="0.74803149606299213" top="0.98425196850393704" bottom="0.98425196850393704" header="0.51181102362204722" footer="0.51181102362204722"/>
  <pageSetup paperSize="9" orientation="portrait" r:id="rId2"/>
  <headerFooter alignWithMargins="0">
    <oddFooter>&amp;L&amp;Z&amp;F\&amp;A&amp;R&amp;D  &amp;T</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2:A58"/>
  <sheetViews>
    <sheetView showGridLines="0" workbookViewId="0">
      <selection activeCell="A2" sqref="A2"/>
    </sheetView>
  </sheetViews>
  <sheetFormatPr defaultRowHeight="13.2" x14ac:dyDescent="0.25"/>
  <cols>
    <col min="1" max="1" width="96" customWidth="1"/>
  </cols>
  <sheetData>
    <row r="2" spans="1:1" ht="17.399999999999999" x14ac:dyDescent="0.3">
      <c r="A2" s="2" t="s">
        <v>4</v>
      </c>
    </row>
    <row r="4" spans="1:1" x14ac:dyDescent="0.25">
      <c r="A4" s="11" t="s">
        <v>5</v>
      </c>
    </row>
    <row r="5" spans="1:1" x14ac:dyDescent="0.25">
      <c r="A5" s="8" t="s">
        <v>6</v>
      </c>
    </row>
    <row r="6" spans="1:1" x14ac:dyDescent="0.25">
      <c r="A6" s="7"/>
    </row>
    <row r="7" spans="1:1" x14ac:dyDescent="0.25">
      <c r="A7" s="11" t="s">
        <v>76</v>
      </c>
    </row>
    <row r="8" spans="1:1" x14ac:dyDescent="0.25">
      <c r="A8" s="8" t="s">
        <v>149</v>
      </c>
    </row>
    <row r="9" spans="1:1" x14ac:dyDescent="0.25">
      <c r="A9" s="8" t="s">
        <v>151</v>
      </c>
    </row>
    <row r="10" spans="1:1" x14ac:dyDescent="0.25">
      <c r="A10" s="8" t="s">
        <v>150</v>
      </c>
    </row>
    <row r="11" spans="1:1" x14ac:dyDescent="0.25">
      <c r="A11" s="8" t="s">
        <v>152</v>
      </c>
    </row>
    <row r="12" spans="1:1" x14ac:dyDescent="0.25">
      <c r="A12" s="8" t="s">
        <v>153</v>
      </c>
    </row>
    <row r="13" spans="1:1" x14ac:dyDescent="0.25">
      <c r="A13" s="8" t="s">
        <v>137</v>
      </c>
    </row>
    <row r="14" spans="1:1" x14ac:dyDescent="0.25">
      <c r="A14" s="8" t="s">
        <v>135</v>
      </c>
    </row>
    <row r="15" spans="1:1" x14ac:dyDescent="0.25">
      <c r="A15" s="8" t="s">
        <v>136</v>
      </c>
    </row>
    <row r="16" spans="1:1" x14ac:dyDescent="0.25">
      <c r="A16" s="8"/>
    </row>
    <row r="17" spans="1:1" ht="39.6" x14ac:dyDescent="0.25">
      <c r="A17" s="8" t="s">
        <v>154</v>
      </c>
    </row>
    <row r="18" spans="1:1" x14ac:dyDescent="0.25">
      <c r="A18" s="7"/>
    </row>
    <row r="19" spans="1:1" x14ac:dyDescent="0.25">
      <c r="A19" s="11" t="s">
        <v>77</v>
      </c>
    </row>
    <row r="20" spans="1:1" x14ac:dyDescent="0.25">
      <c r="A20" s="8" t="s">
        <v>155</v>
      </c>
    </row>
    <row r="21" spans="1:1" x14ac:dyDescent="0.25">
      <c r="A21" s="8" t="s">
        <v>7</v>
      </c>
    </row>
    <row r="22" spans="1:1" x14ac:dyDescent="0.25">
      <c r="A22" s="8"/>
    </row>
    <row r="23" spans="1:1" ht="26.4" x14ac:dyDescent="0.25">
      <c r="A23" s="8" t="s">
        <v>156</v>
      </c>
    </row>
    <row r="24" spans="1:1" x14ac:dyDescent="0.25">
      <c r="A24" s="8" t="s">
        <v>177</v>
      </c>
    </row>
    <row r="25" spans="1:1" x14ac:dyDescent="0.25">
      <c r="A25" s="8" t="s">
        <v>178</v>
      </c>
    </row>
    <row r="26" spans="1:1" x14ac:dyDescent="0.25">
      <c r="A26" s="8" t="s">
        <v>180</v>
      </c>
    </row>
    <row r="27" spans="1:1" ht="26.4" x14ac:dyDescent="0.25">
      <c r="A27" s="8" t="s">
        <v>179</v>
      </c>
    </row>
    <row r="28" spans="1:1" x14ac:dyDescent="0.25">
      <c r="A28" s="7"/>
    </row>
    <row r="29" spans="1:1" ht="26.4" x14ac:dyDescent="0.25">
      <c r="A29" s="7" t="s">
        <v>138</v>
      </c>
    </row>
    <row r="30" spans="1:1" x14ac:dyDescent="0.25">
      <c r="A30" s="7"/>
    </row>
    <row r="31" spans="1:1" x14ac:dyDescent="0.25">
      <c r="A31" s="6" t="s">
        <v>78</v>
      </c>
    </row>
    <row r="32" spans="1:1" ht="26.4" x14ac:dyDescent="0.25">
      <c r="A32" s="8" t="s">
        <v>122</v>
      </c>
    </row>
    <row r="33" spans="1:1" ht="26.4" x14ac:dyDescent="0.25">
      <c r="A33" s="8" t="s">
        <v>128</v>
      </c>
    </row>
    <row r="34" spans="1:1" x14ac:dyDescent="0.25">
      <c r="A34" s="7"/>
    </row>
    <row r="35" spans="1:1" ht="26.4" x14ac:dyDescent="0.25">
      <c r="A35" s="8" t="s">
        <v>60</v>
      </c>
    </row>
    <row r="36" spans="1:1" x14ac:dyDescent="0.25">
      <c r="A36" s="8"/>
    </row>
    <row r="37" spans="1:1" x14ac:dyDescent="0.25">
      <c r="A37" s="6" t="s">
        <v>25</v>
      </c>
    </row>
    <row r="38" spans="1:1" ht="52.8" x14ac:dyDescent="0.25">
      <c r="A38" s="8" t="s">
        <v>157</v>
      </c>
    </row>
    <row r="39" spans="1:1" x14ac:dyDescent="0.25">
      <c r="A39" s="8" t="s">
        <v>158</v>
      </c>
    </row>
    <row r="40" spans="1:1" ht="26.4" x14ac:dyDescent="0.25">
      <c r="A40" s="8" t="s">
        <v>160</v>
      </c>
    </row>
    <row r="41" spans="1:1" x14ac:dyDescent="0.25">
      <c r="A41" s="8"/>
    </row>
    <row r="42" spans="1:1" x14ac:dyDescent="0.25">
      <c r="A42" s="6" t="s">
        <v>159</v>
      </c>
    </row>
    <row r="43" spans="1:1" ht="26.4" x14ac:dyDescent="0.25">
      <c r="A43" s="8" t="s">
        <v>161</v>
      </c>
    </row>
    <row r="44" spans="1:1" x14ac:dyDescent="0.25">
      <c r="A44" s="8"/>
    </row>
    <row r="45" spans="1:1" x14ac:dyDescent="0.25">
      <c r="A45" s="6" t="s">
        <v>8</v>
      </c>
    </row>
    <row r="46" spans="1:1" ht="39.6" x14ac:dyDescent="0.25">
      <c r="A46" s="8" t="s">
        <v>139</v>
      </c>
    </row>
    <row r="47" spans="1:1" ht="39.6" x14ac:dyDescent="0.25">
      <c r="A47" s="8" t="s">
        <v>113</v>
      </c>
    </row>
    <row r="48" spans="1:1" x14ac:dyDescent="0.25">
      <c r="A48" s="7"/>
    </row>
    <row r="49" spans="1:1" ht="26.4" x14ac:dyDescent="0.25">
      <c r="A49" s="59" t="s">
        <v>162</v>
      </c>
    </row>
    <row r="50" spans="1:1" x14ac:dyDescent="0.25">
      <c r="A50" s="7"/>
    </row>
    <row r="51" spans="1:1" x14ac:dyDescent="0.25">
      <c r="A51" s="6" t="s">
        <v>163</v>
      </c>
    </row>
    <row r="52" spans="1:1" x14ac:dyDescent="0.25">
      <c r="A52" s="6"/>
    </row>
    <row r="53" spans="1:1" x14ac:dyDescent="0.25">
      <c r="A53" s="7"/>
    </row>
    <row r="54" spans="1:1" x14ac:dyDescent="0.25">
      <c r="A54" s="7"/>
    </row>
    <row r="55" spans="1:1" x14ac:dyDescent="0.25">
      <c r="A55" s="7"/>
    </row>
    <row r="56" spans="1:1" x14ac:dyDescent="0.25">
      <c r="A56" s="7"/>
    </row>
    <row r="57" spans="1:1" x14ac:dyDescent="0.25">
      <c r="A57" s="7"/>
    </row>
    <row r="58" spans="1:1" x14ac:dyDescent="0.25">
      <c r="A58" s="7"/>
    </row>
  </sheetData>
  <customSheetViews>
    <customSheetView guid="{93A5533C-1BF0-4CFD-B527-DBAD1AD08F71}" showGridLines="0" fitToPage="1" showRuler="0">
      <pageMargins left="0.94488188976377963" right="0.74803149606299213" top="0.78740157480314965" bottom="0.78740157480314965" header="0.31496062992125984" footer="0.31496062992125984"/>
      <pageSetup paperSize="9" scale="89" orientation="portrait" r:id="rId1"/>
      <headerFooter alignWithMargins="0"/>
    </customSheetView>
  </customSheetViews>
  <phoneticPr fontId="0" type="noConversion"/>
  <pageMargins left="0.94488188976377963" right="0.74803149606299213" top="0.78740157480314965" bottom="0.78740157480314965" header="0.31496062992125984" footer="0.31496062992125984"/>
  <pageSetup paperSize="9" orientation="portrait" r:id="rId2"/>
  <headerFooter alignWithMargins="0">
    <oddFooter>&amp;L&amp;Z&amp;F\&amp;A&amp;R&amp;D  &amp;T</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O90"/>
  <sheetViews>
    <sheetView zoomScale="85" workbookViewId="0">
      <selection activeCell="A7" sqref="A7"/>
    </sheetView>
  </sheetViews>
  <sheetFormatPr defaultColWidth="9.109375" defaultRowHeight="13.2" x14ac:dyDescent="0.25"/>
  <cols>
    <col min="1" max="1" width="10" style="66" customWidth="1"/>
    <col min="2" max="2" width="4.5546875" style="66" customWidth="1"/>
    <col min="3" max="3" width="25.6640625" style="66" customWidth="1"/>
    <col min="4" max="4" width="10.109375" style="66" customWidth="1"/>
    <col min="5" max="5" width="10" style="66" bestFit="1" customWidth="1"/>
    <col min="6" max="6" width="12.5546875" style="66" bestFit="1" customWidth="1"/>
    <col min="7" max="7" width="9.88671875" style="66" bestFit="1" customWidth="1"/>
    <col min="8" max="8" width="11.44140625" style="66" bestFit="1" customWidth="1"/>
    <col min="9" max="9" width="10.88671875" style="66" bestFit="1" customWidth="1"/>
    <col min="10" max="10" width="10.6640625" style="66" bestFit="1" customWidth="1"/>
    <col min="11" max="11" width="9.109375" style="66"/>
    <col min="12" max="12" width="7.109375" style="66" customWidth="1"/>
    <col min="13" max="13" width="8.88671875" style="66" customWidth="1"/>
    <col min="14" max="14" width="9.88671875" style="66" bestFit="1" customWidth="1"/>
    <col min="15" max="15" width="9.5546875" style="66" bestFit="1" customWidth="1"/>
    <col min="16" max="16384" width="9.109375" style="66"/>
  </cols>
  <sheetData>
    <row r="1" spans="1:15" ht="16.2" thickBot="1" x14ac:dyDescent="0.3">
      <c r="A1" s="63" t="str">
        <f>'Company Info'!B5</f>
        <v>ABC Limited</v>
      </c>
      <c r="B1" s="64"/>
      <c r="C1" s="64"/>
      <c r="D1" s="65"/>
    </row>
    <row r="2" spans="1:15" ht="13.8" thickBot="1" x14ac:dyDescent="0.3"/>
    <row r="3" spans="1:15" ht="18" thickBot="1" x14ac:dyDescent="0.3">
      <c r="A3" s="67" t="s">
        <v>9</v>
      </c>
      <c r="B3" s="61"/>
      <c r="C3" s="61"/>
      <c r="D3" s="68"/>
      <c r="E3" s="68"/>
      <c r="F3" s="68"/>
      <c r="G3" s="68"/>
      <c r="H3" s="68"/>
      <c r="I3" s="68"/>
      <c r="J3" s="68"/>
      <c r="K3" s="68"/>
      <c r="L3" s="68"/>
      <c r="M3" s="68"/>
      <c r="N3" s="239" t="s">
        <v>10</v>
      </c>
      <c r="O3" s="70">
        <f>'Month 2'!O3-31</f>
        <v>40658</v>
      </c>
    </row>
    <row r="4" spans="1:15" ht="13.8" thickBot="1" x14ac:dyDescent="0.3">
      <c r="A4" s="71"/>
      <c r="B4" s="68"/>
      <c r="C4" s="68"/>
      <c r="D4" s="72"/>
      <c r="E4" s="72"/>
      <c r="F4" s="72"/>
      <c r="G4" s="72"/>
      <c r="H4" s="72"/>
      <c r="N4" s="68"/>
      <c r="O4" s="73"/>
    </row>
    <row r="5" spans="1:15" s="79" customFormat="1" ht="26.25" customHeight="1" thickBot="1" x14ac:dyDescent="0.3">
      <c r="A5" s="74" t="s">
        <v>12</v>
      </c>
      <c r="B5" s="75" t="s">
        <v>130</v>
      </c>
      <c r="C5" s="76" t="s">
        <v>123</v>
      </c>
      <c r="D5" s="75" t="s">
        <v>13</v>
      </c>
      <c r="E5" s="77" t="s">
        <v>14</v>
      </c>
      <c r="F5" s="77" t="s">
        <v>61</v>
      </c>
      <c r="G5" s="77" t="s">
        <v>15</v>
      </c>
      <c r="H5" s="77" t="s">
        <v>62</v>
      </c>
      <c r="I5" s="77" t="s">
        <v>131</v>
      </c>
      <c r="J5" s="77" t="s">
        <v>79</v>
      </c>
      <c r="K5" s="77"/>
      <c r="L5" s="77"/>
      <c r="M5" s="77"/>
      <c r="N5" s="77"/>
      <c r="O5" s="78" t="s">
        <v>16</v>
      </c>
    </row>
    <row r="6" spans="1:15" x14ac:dyDescent="0.25">
      <c r="A6" s="80"/>
      <c r="B6" s="81"/>
      <c r="C6" s="82"/>
      <c r="D6" s="83">
        <f t="shared" ref="D6:D17" si="0">SUM(E6:O6)</f>
        <v>0</v>
      </c>
      <c r="E6" s="84"/>
      <c r="F6" s="84"/>
      <c r="G6" s="84"/>
      <c r="H6" s="84"/>
      <c r="I6" s="84"/>
      <c r="J6" s="84"/>
      <c r="K6" s="84"/>
      <c r="L6" s="84"/>
      <c r="M6" s="84"/>
      <c r="N6" s="85"/>
      <c r="O6" s="86"/>
    </row>
    <row r="7" spans="1:15" x14ac:dyDescent="0.25">
      <c r="A7" s="80"/>
      <c r="B7" s="81"/>
      <c r="C7" s="82"/>
      <c r="D7" s="83">
        <f t="shared" si="0"/>
        <v>0</v>
      </c>
      <c r="E7" s="84"/>
      <c r="F7" s="84"/>
      <c r="G7" s="84"/>
      <c r="H7" s="84"/>
      <c r="I7" s="84"/>
      <c r="J7" s="84"/>
      <c r="K7" s="84"/>
      <c r="L7" s="84"/>
      <c r="M7" s="84"/>
      <c r="N7" s="85"/>
      <c r="O7" s="86"/>
    </row>
    <row r="8" spans="1:15" x14ac:dyDescent="0.25">
      <c r="A8" s="80"/>
      <c r="B8" s="81"/>
      <c r="C8" s="82"/>
      <c r="D8" s="83">
        <f t="shared" si="0"/>
        <v>0</v>
      </c>
      <c r="E8" s="84"/>
      <c r="F8" s="84"/>
      <c r="G8" s="84"/>
      <c r="H8" s="84"/>
      <c r="I8" s="84"/>
      <c r="J8" s="84"/>
      <c r="K8" s="84"/>
      <c r="L8" s="84"/>
      <c r="M8" s="84"/>
      <c r="N8" s="85"/>
      <c r="O8" s="86"/>
    </row>
    <row r="9" spans="1:15" x14ac:dyDescent="0.25">
      <c r="A9" s="80"/>
      <c r="B9" s="81"/>
      <c r="C9" s="82"/>
      <c r="D9" s="83">
        <f t="shared" si="0"/>
        <v>0</v>
      </c>
      <c r="E9" s="84"/>
      <c r="F9" s="84"/>
      <c r="G9" s="84"/>
      <c r="H9" s="84"/>
      <c r="I9" s="84"/>
      <c r="J9" s="84"/>
      <c r="K9" s="84"/>
      <c r="L9" s="84"/>
      <c r="M9" s="84"/>
      <c r="N9" s="85"/>
      <c r="O9" s="86"/>
    </row>
    <row r="10" spans="1:15" x14ac:dyDescent="0.25">
      <c r="A10" s="80"/>
      <c r="B10" s="81"/>
      <c r="C10" s="82"/>
      <c r="D10" s="83">
        <f t="shared" si="0"/>
        <v>0</v>
      </c>
      <c r="E10" s="84"/>
      <c r="F10" s="84"/>
      <c r="G10" s="84"/>
      <c r="H10" s="84"/>
      <c r="I10" s="84"/>
      <c r="J10" s="84"/>
      <c r="K10" s="84"/>
      <c r="L10" s="84"/>
      <c r="M10" s="84"/>
      <c r="N10" s="85"/>
      <c r="O10" s="86"/>
    </row>
    <row r="11" spans="1:15" x14ac:dyDescent="0.25">
      <c r="A11" s="80"/>
      <c r="B11" s="81"/>
      <c r="C11" s="82"/>
      <c r="D11" s="83">
        <f t="shared" si="0"/>
        <v>0</v>
      </c>
      <c r="E11" s="84"/>
      <c r="F11" s="84"/>
      <c r="G11" s="84"/>
      <c r="H11" s="84"/>
      <c r="I11" s="84"/>
      <c r="J11" s="84"/>
      <c r="K11" s="84"/>
      <c r="L11" s="84"/>
      <c r="M11" s="84"/>
      <c r="N11" s="85"/>
      <c r="O11" s="86"/>
    </row>
    <row r="12" spans="1:15" x14ac:dyDescent="0.25">
      <c r="A12" s="80"/>
      <c r="B12" s="81"/>
      <c r="C12" s="82"/>
      <c r="D12" s="83">
        <f t="shared" si="0"/>
        <v>0</v>
      </c>
      <c r="E12" s="84"/>
      <c r="F12" s="84"/>
      <c r="G12" s="84"/>
      <c r="H12" s="84"/>
      <c r="I12" s="84"/>
      <c r="J12" s="84"/>
      <c r="K12" s="84"/>
      <c r="L12" s="84"/>
      <c r="M12" s="84"/>
      <c r="N12" s="85"/>
      <c r="O12" s="86"/>
    </row>
    <row r="13" spans="1:15" x14ac:dyDescent="0.25">
      <c r="A13" s="80"/>
      <c r="B13" s="81"/>
      <c r="C13" s="82"/>
      <c r="D13" s="83">
        <f t="shared" si="0"/>
        <v>0</v>
      </c>
      <c r="E13" s="84"/>
      <c r="F13" s="84"/>
      <c r="G13" s="84"/>
      <c r="H13" s="84"/>
      <c r="I13" s="84"/>
      <c r="J13" s="84"/>
      <c r="K13" s="84"/>
      <c r="L13" s="84"/>
      <c r="M13" s="84"/>
      <c r="N13" s="85"/>
      <c r="O13" s="86"/>
    </row>
    <row r="14" spans="1:15" x14ac:dyDescent="0.25">
      <c r="A14" s="80"/>
      <c r="B14" s="81"/>
      <c r="C14" s="82"/>
      <c r="D14" s="83">
        <f t="shared" si="0"/>
        <v>0</v>
      </c>
      <c r="E14" s="84"/>
      <c r="F14" s="84"/>
      <c r="G14" s="84"/>
      <c r="H14" s="84"/>
      <c r="I14" s="84"/>
      <c r="J14" s="84"/>
      <c r="K14" s="84"/>
      <c r="L14" s="84"/>
      <c r="M14" s="84"/>
      <c r="N14" s="85"/>
      <c r="O14" s="86"/>
    </row>
    <row r="15" spans="1:15" x14ac:dyDescent="0.25">
      <c r="A15" s="80"/>
      <c r="B15" s="81"/>
      <c r="C15" s="82"/>
      <c r="D15" s="83">
        <f t="shared" si="0"/>
        <v>0</v>
      </c>
      <c r="E15" s="84"/>
      <c r="F15" s="84"/>
      <c r="G15" s="84"/>
      <c r="H15" s="84"/>
      <c r="I15" s="84"/>
      <c r="J15" s="84"/>
      <c r="K15" s="84"/>
      <c r="L15" s="84"/>
      <c r="M15" s="84"/>
      <c r="N15" s="85"/>
      <c r="O15" s="86"/>
    </row>
    <row r="16" spans="1:15" x14ac:dyDescent="0.25">
      <c r="A16" s="80"/>
      <c r="B16" s="81"/>
      <c r="C16" s="82"/>
      <c r="D16" s="83">
        <f t="shared" si="0"/>
        <v>0</v>
      </c>
      <c r="E16" s="84"/>
      <c r="F16" s="84"/>
      <c r="G16" s="84"/>
      <c r="H16" s="84"/>
      <c r="I16" s="84"/>
      <c r="J16" s="84"/>
      <c r="K16" s="84"/>
      <c r="L16" s="84"/>
      <c r="M16" s="84"/>
      <c r="N16" s="85"/>
      <c r="O16" s="86"/>
    </row>
    <row r="17" spans="1:15" x14ac:dyDescent="0.25">
      <c r="A17" s="80"/>
      <c r="B17" s="81"/>
      <c r="C17" s="82"/>
      <c r="D17" s="83">
        <f t="shared" si="0"/>
        <v>0</v>
      </c>
      <c r="E17" s="84"/>
      <c r="F17" s="84"/>
      <c r="G17" s="84"/>
      <c r="H17" s="84"/>
      <c r="I17" s="84"/>
      <c r="J17" s="84"/>
      <c r="K17" s="84"/>
      <c r="L17" s="84"/>
      <c r="M17" s="84"/>
      <c r="N17" s="85"/>
      <c r="O17" s="86"/>
    </row>
    <row r="18" spans="1:15" ht="13.8" thickBot="1" x14ac:dyDescent="0.3">
      <c r="A18" s="80"/>
      <c r="B18" s="81"/>
      <c r="C18" s="82"/>
      <c r="D18" s="83"/>
      <c r="E18" s="84"/>
      <c r="F18" s="84"/>
      <c r="G18" s="84"/>
      <c r="H18" s="84"/>
      <c r="I18" s="19"/>
      <c r="J18" s="19"/>
      <c r="K18" s="19"/>
      <c r="L18" s="19"/>
      <c r="M18" s="19"/>
      <c r="N18" s="85"/>
      <c r="O18" s="86"/>
    </row>
    <row r="19" spans="1:15" ht="16.2" thickBot="1" x14ac:dyDescent="0.3">
      <c r="A19" s="87"/>
      <c r="B19" s="88"/>
      <c r="C19" s="89" t="s">
        <v>17</v>
      </c>
      <c r="D19" s="90">
        <f t="shared" ref="D19:O19" si="1">SUM(D6:D18)</f>
        <v>0</v>
      </c>
      <c r="E19" s="91">
        <f t="shared" si="1"/>
        <v>0</v>
      </c>
      <c r="F19" s="91">
        <f t="shared" si="1"/>
        <v>0</v>
      </c>
      <c r="G19" s="91">
        <f t="shared" si="1"/>
        <v>0</v>
      </c>
      <c r="H19" s="91">
        <f t="shared" si="1"/>
        <v>0</v>
      </c>
      <c r="I19" s="91">
        <f t="shared" si="1"/>
        <v>0</v>
      </c>
      <c r="J19" s="91">
        <f t="shared" si="1"/>
        <v>0</v>
      </c>
      <c r="K19" s="91">
        <f t="shared" si="1"/>
        <v>0</v>
      </c>
      <c r="L19" s="91">
        <f t="shared" si="1"/>
        <v>0</v>
      </c>
      <c r="M19" s="91">
        <f t="shared" si="1"/>
        <v>0</v>
      </c>
      <c r="N19" s="91">
        <f t="shared" si="1"/>
        <v>0</v>
      </c>
      <c r="O19" s="92">
        <f t="shared" si="1"/>
        <v>0</v>
      </c>
    </row>
    <row r="20" spans="1:15" ht="12.75" customHeight="1" x14ac:dyDescent="0.25">
      <c r="A20" s="87"/>
      <c r="B20" s="93"/>
      <c r="C20" s="93"/>
      <c r="D20" s="94" t="s">
        <v>18</v>
      </c>
      <c r="E20" s="94" t="s">
        <v>19</v>
      </c>
      <c r="F20" s="94" t="s">
        <v>19</v>
      </c>
      <c r="G20" s="94" t="s">
        <v>20</v>
      </c>
      <c r="H20" s="95"/>
      <c r="N20" s="95"/>
      <c r="O20" s="96"/>
    </row>
    <row r="21" spans="1:15" ht="13.8" thickBot="1" x14ac:dyDescent="0.3">
      <c r="A21" s="97"/>
      <c r="B21" s="72"/>
      <c r="C21" s="72" t="s">
        <v>71</v>
      </c>
      <c r="D21" s="98">
        <f>SUM(E19:O19)-D19</f>
        <v>0</v>
      </c>
      <c r="E21" s="253" t="str">
        <f>IF(D21=0,"","ERROR - figures do not add across")</f>
        <v/>
      </c>
      <c r="F21" s="72"/>
      <c r="G21" s="72"/>
      <c r="H21" s="72"/>
      <c r="I21" s="72"/>
      <c r="J21" s="72"/>
      <c r="K21" s="72"/>
      <c r="L21" s="72"/>
      <c r="M21" s="72"/>
      <c r="N21" s="72"/>
      <c r="O21" s="99"/>
    </row>
    <row r="23" spans="1:15" ht="13.8" thickBot="1" x14ac:dyDescent="0.3"/>
    <row r="24" spans="1:15" ht="18" thickBot="1" x14ac:dyDescent="0.3">
      <c r="A24" s="100" t="s">
        <v>21</v>
      </c>
      <c r="B24" s="101"/>
      <c r="C24" s="61"/>
      <c r="D24" s="68"/>
      <c r="E24" s="68"/>
      <c r="F24" s="68"/>
      <c r="G24" s="68"/>
      <c r="H24" s="68"/>
      <c r="I24" s="68"/>
      <c r="J24" s="68"/>
      <c r="K24" s="68"/>
      <c r="L24" s="68"/>
      <c r="M24" s="68"/>
      <c r="N24" s="239" t="s">
        <v>10</v>
      </c>
      <c r="O24" s="70">
        <f>O3</f>
        <v>40658</v>
      </c>
    </row>
    <row r="25" spans="1:15" ht="13.8" thickBot="1" x14ac:dyDescent="0.3">
      <c r="A25" s="102"/>
      <c r="B25" s="93"/>
      <c r="C25" s="93"/>
      <c r="D25" s="93"/>
      <c r="E25" s="93"/>
      <c r="F25" s="93"/>
      <c r="G25" s="93"/>
      <c r="H25" s="93"/>
      <c r="I25" s="93"/>
      <c r="J25" s="93"/>
      <c r="K25" s="93"/>
      <c r="L25" s="93"/>
      <c r="M25" s="93"/>
      <c r="N25" s="93"/>
      <c r="O25" s="103"/>
    </row>
    <row r="26" spans="1:15" s="79" customFormat="1" ht="27" customHeight="1" thickBot="1" x14ac:dyDescent="0.3">
      <c r="A26" s="104" t="s">
        <v>12</v>
      </c>
      <c r="B26" s="75" t="s">
        <v>68</v>
      </c>
      <c r="C26" s="105" t="s">
        <v>123</v>
      </c>
      <c r="D26" s="106" t="s">
        <v>63</v>
      </c>
      <c r="E26" s="107" t="s">
        <v>65</v>
      </c>
      <c r="F26" s="107" t="s">
        <v>66</v>
      </c>
      <c r="G26" s="107" t="s">
        <v>58</v>
      </c>
      <c r="H26" s="107" t="s">
        <v>79</v>
      </c>
      <c r="I26" s="107" t="s">
        <v>22</v>
      </c>
      <c r="J26" s="107" t="s">
        <v>23</v>
      </c>
      <c r="K26" s="107" t="s">
        <v>24</v>
      </c>
      <c r="L26" s="107" t="s">
        <v>25</v>
      </c>
      <c r="M26" s="107" t="s">
        <v>143</v>
      </c>
      <c r="N26" s="107" t="s">
        <v>16</v>
      </c>
      <c r="O26" s="78" t="s">
        <v>142</v>
      </c>
    </row>
    <row r="27" spans="1:15" x14ac:dyDescent="0.25">
      <c r="A27" s="80"/>
      <c r="B27" s="81"/>
      <c r="C27" s="60"/>
      <c r="D27" s="83">
        <f t="shared" ref="D27:D38" si="2">SUM(E27:O27)</f>
        <v>0</v>
      </c>
      <c r="E27" s="84"/>
      <c r="F27" s="84"/>
      <c r="G27" s="84"/>
      <c r="H27" s="84"/>
      <c r="I27" s="84"/>
      <c r="J27" s="84"/>
      <c r="K27" s="84"/>
      <c r="L27" s="84"/>
      <c r="M27" s="84"/>
      <c r="N27" s="85"/>
      <c r="O27" s="86"/>
    </row>
    <row r="28" spans="1:15" x14ac:dyDescent="0.25">
      <c r="A28" s="80"/>
      <c r="B28" s="81"/>
      <c r="C28" s="60"/>
      <c r="D28" s="83">
        <f t="shared" si="2"/>
        <v>0</v>
      </c>
      <c r="E28" s="84"/>
      <c r="F28" s="84"/>
      <c r="G28" s="84"/>
      <c r="H28" s="84"/>
      <c r="I28" s="84"/>
      <c r="J28" s="84"/>
      <c r="K28" s="84"/>
      <c r="L28" s="84"/>
      <c r="M28" s="84"/>
      <c r="N28" s="85"/>
      <c r="O28" s="86"/>
    </row>
    <row r="29" spans="1:15" x14ac:dyDescent="0.25">
      <c r="A29" s="80"/>
      <c r="B29" s="81"/>
      <c r="C29" s="60"/>
      <c r="D29" s="83">
        <f t="shared" si="2"/>
        <v>0</v>
      </c>
      <c r="E29" s="84"/>
      <c r="F29" s="84"/>
      <c r="G29" s="84"/>
      <c r="H29" s="84"/>
      <c r="I29" s="84"/>
      <c r="J29" s="84"/>
      <c r="K29" s="84"/>
      <c r="L29" s="84"/>
      <c r="M29" s="84"/>
      <c r="N29" s="85"/>
      <c r="O29" s="86"/>
    </row>
    <row r="30" spans="1:15" x14ac:dyDescent="0.25">
      <c r="A30" s="80"/>
      <c r="B30" s="81"/>
      <c r="C30" s="60"/>
      <c r="D30" s="83">
        <f t="shared" si="2"/>
        <v>0</v>
      </c>
      <c r="E30" s="84"/>
      <c r="F30" s="84"/>
      <c r="G30" s="84"/>
      <c r="H30" s="84"/>
      <c r="I30" s="84"/>
      <c r="J30" s="84"/>
      <c r="K30" s="84"/>
      <c r="L30" s="84"/>
      <c r="M30" s="84"/>
      <c r="N30" s="85"/>
      <c r="O30" s="86"/>
    </row>
    <row r="31" spans="1:15" x14ac:dyDescent="0.25">
      <c r="A31" s="80"/>
      <c r="B31" s="81"/>
      <c r="C31" s="60"/>
      <c r="D31" s="83">
        <f t="shared" si="2"/>
        <v>0</v>
      </c>
      <c r="E31" s="84"/>
      <c r="F31" s="84"/>
      <c r="G31" s="84"/>
      <c r="H31" s="84"/>
      <c r="I31" s="84"/>
      <c r="J31" s="84"/>
      <c r="K31" s="84"/>
      <c r="L31" s="84"/>
      <c r="M31" s="84"/>
      <c r="N31" s="85"/>
      <c r="O31" s="86"/>
    </row>
    <row r="32" spans="1:15" x14ac:dyDescent="0.25">
      <c r="A32" s="80"/>
      <c r="B32" s="81"/>
      <c r="C32" s="60"/>
      <c r="D32" s="83">
        <f t="shared" si="2"/>
        <v>0</v>
      </c>
      <c r="E32" s="84"/>
      <c r="F32" s="84"/>
      <c r="G32" s="84"/>
      <c r="H32" s="84"/>
      <c r="I32" s="84"/>
      <c r="J32" s="84"/>
      <c r="K32" s="84"/>
      <c r="L32" s="84"/>
      <c r="M32" s="84"/>
      <c r="N32" s="85"/>
      <c r="O32" s="86"/>
    </row>
    <row r="33" spans="1:15" x14ac:dyDescent="0.25">
      <c r="A33" s="80"/>
      <c r="B33" s="81"/>
      <c r="C33" s="60"/>
      <c r="D33" s="83">
        <f t="shared" si="2"/>
        <v>0</v>
      </c>
      <c r="E33" s="84"/>
      <c r="F33" s="84"/>
      <c r="G33" s="84"/>
      <c r="H33" s="84"/>
      <c r="I33" s="84"/>
      <c r="J33" s="84"/>
      <c r="K33" s="84"/>
      <c r="L33" s="84"/>
      <c r="M33" s="84"/>
      <c r="N33" s="85"/>
      <c r="O33" s="86"/>
    </row>
    <row r="34" spans="1:15" x14ac:dyDescent="0.25">
      <c r="A34" s="80"/>
      <c r="B34" s="81"/>
      <c r="C34" s="60"/>
      <c r="D34" s="83">
        <f t="shared" si="2"/>
        <v>0</v>
      </c>
      <c r="E34" s="84"/>
      <c r="F34" s="84"/>
      <c r="G34" s="84"/>
      <c r="H34" s="84"/>
      <c r="I34" s="84"/>
      <c r="J34" s="84"/>
      <c r="K34" s="84"/>
      <c r="L34" s="84"/>
      <c r="M34" s="84"/>
      <c r="N34" s="85"/>
      <c r="O34" s="86"/>
    </row>
    <row r="35" spans="1:15" x14ac:dyDescent="0.25">
      <c r="A35" s="80"/>
      <c r="B35" s="81"/>
      <c r="C35" s="60"/>
      <c r="D35" s="83">
        <f t="shared" si="2"/>
        <v>0</v>
      </c>
      <c r="E35" s="84"/>
      <c r="F35" s="84"/>
      <c r="G35" s="84"/>
      <c r="H35" s="84"/>
      <c r="I35" s="84"/>
      <c r="J35" s="84"/>
      <c r="K35" s="84"/>
      <c r="L35" s="84"/>
      <c r="M35" s="84"/>
      <c r="N35" s="85"/>
      <c r="O35" s="86"/>
    </row>
    <row r="36" spans="1:15" x14ac:dyDescent="0.25">
      <c r="A36" s="80"/>
      <c r="B36" s="81"/>
      <c r="C36" s="60"/>
      <c r="D36" s="83">
        <f t="shared" si="2"/>
        <v>0</v>
      </c>
      <c r="E36" s="84"/>
      <c r="F36" s="84"/>
      <c r="G36" s="84"/>
      <c r="H36" s="84"/>
      <c r="I36" s="84"/>
      <c r="J36" s="84"/>
      <c r="K36" s="84"/>
      <c r="L36" s="84"/>
      <c r="M36" s="84"/>
      <c r="N36" s="85"/>
      <c r="O36" s="86"/>
    </row>
    <row r="37" spans="1:15" x14ac:dyDescent="0.25">
      <c r="A37" s="80"/>
      <c r="B37" s="81"/>
      <c r="C37" s="60"/>
      <c r="D37" s="83">
        <f t="shared" si="2"/>
        <v>0</v>
      </c>
      <c r="E37" s="84"/>
      <c r="F37" s="84"/>
      <c r="G37" s="84"/>
      <c r="H37" s="84"/>
      <c r="I37" s="84"/>
      <c r="J37" s="84"/>
      <c r="K37" s="84"/>
      <c r="L37" s="84"/>
      <c r="M37" s="84"/>
      <c r="N37" s="85"/>
      <c r="O37" s="86"/>
    </row>
    <row r="38" spans="1:15" x14ac:dyDescent="0.25">
      <c r="A38" s="80"/>
      <c r="B38" s="81"/>
      <c r="C38" s="60"/>
      <c r="D38" s="83">
        <f t="shared" si="2"/>
        <v>0</v>
      </c>
      <c r="E38" s="84"/>
      <c r="F38" s="84"/>
      <c r="G38" s="84"/>
      <c r="H38" s="84"/>
      <c r="I38" s="84"/>
      <c r="J38" s="84"/>
      <c r="K38" s="84"/>
      <c r="L38" s="84"/>
      <c r="M38" s="84"/>
      <c r="N38" s="85"/>
      <c r="O38" s="86"/>
    </row>
    <row r="39" spans="1:15" x14ac:dyDescent="0.25">
      <c r="A39" s="80"/>
      <c r="B39" s="81"/>
      <c r="C39" s="60"/>
      <c r="D39" s="83">
        <f>SUM(E39:O39)</f>
        <v>0</v>
      </c>
      <c r="E39" s="84"/>
      <c r="F39" s="84"/>
      <c r="G39" s="84"/>
      <c r="H39" s="84"/>
      <c r="I39" s="84"/>
      <c r="J39" s="84"/>
      <c r="K39" s="84"/>
      <c r="L39" s="84"/>
      <c r="M39" s="84"/>
      <c r="N39" s="84"/>
      <c r="O39" s="86"/>
    </row>
    <row r="40" spans="1:15" x14ac:dyDescent="0.25">
      <c r="A40" s="80"/>
      <c r="B40" s="81"/>
      <c r="C40" s="60"/>
      <c r="D40" s="83">
        <f>SUM(E40:O40)</f>
        <v>0</v>
      </c>
      <c r="E40" s="84"/>
      <c r="F40" s="84"/>
      <c r="G40" s="84"/>
      <c r="H40" s="84"/>
      <c r="I40" s="84"/>
      <c r="J40" s="84"/>
      <c r="K40" s="84"/>
      <c r="L40" s="84"/>
      <c r="M40" s="84"/>
      <c r="N40" s="84"/>
      <c r="O40" s="86"/>
    </row>
    <row r="41" spans="1:15" ht="13.8" thickBot="1" x14ac:dyDescent="0.3">
      <c r="A41" s="80"/>
      <c r="B41" s="81"/>
      <c r="C41" s="60"/>
      <c r="D41" s="83"/>
      <c r="E41" s="84" t="s">
        <v>11</v>
      </c>
      <c r="F41" s="84"/>
      <c r="G41" s="84"/>
      <c r="H41" s="84"/>
      <c r="I41" s="84"/>
      <c r="J41" s="84"/>
      <c r="K41" s="84"/>
      <c r="L41" s="84"/>
      <c r="M41" s="84"/>
      <c r="N41" s="84"/>
      <c r="O41" s="86"/>
    </row>
    <row r="42" spans="1:15" ht="16.2" thickBot="1" x14ac:dyDescent="0.3">
      <c r="A42" s="87"/>
      <c r="B42" s="88"/>
      <c r="C42" s="89" t="s">
        <v>17</v>
      </c>
      <c r="D42" s="90">
        <f t="shared" ref="D42:O42" si="3">SUM(D27:D41)</f>
        <v>0</v>
      </c>
      <c r="E42" s="91">
        <f t="shared" si="3"/>
        <v>0</v>
      </c>
      <c r="F42" s="91">
        <f t="shared" si="3"/>
        <v>0</v>
      </c>
      <c r="G42" s="91">
        <f t="shared" si="3"/>
        <v>0</v>
      </c>
      <c r="H42" s="91">
        <f t="shared" si="3"/>
        <v>0</v>
      </c>
      <c r="I42" s="91">
        <f t="shared" si="3"/>
        <v>0</v>
      </c>
      <c r="J42" s="91">
        <f t="shared" si="3"/>
        <v>0</v>
      </c>
      <c r="K42" s="91">
        <f>SUM(K27:K41)</f>
        <v>0</v>
      </c>
      <c r="L42" s="91">
        <f>SUM(L27:L41)</f>
        <v>0</v>
      </c>
      <c r="M42" s="91">
        <f t="shared" si="3"/>
        <v>0</v>
      </c>
      <c r="N42" s="91">
        <f t="shared" si="3"/>
        <v>0</v>
      </c>
      <c r="O42" s="92">
        <f t="shared" si="3"/>
        <v>0</v>
      </c>
    </row>
    <row r="43" spans="1:15" ht="13.8" x14ac:dyDescent="0.25">
      <c r="A43" s="87"/>
      <c r="B43" s="93"/>
      <c r="C43" s="93"/>
      <c r="D43" s="94" t="s">
        <v>26</v>
      </c>
      <c r="E43" s="93"/>
      <c r="F43" s="93"/>
      <c r="G43" s="93"/>
      <c r="H43" s="93"/>
      <c r="I43" s="93"/>
      <c r="J43" s="93"/>
      <c r="K43" s="93"/>
      <c r="L43" s="93"/>
      <c r="M43" s="93"/>
      <c r="N43" s="93"/>
      <c r="O43" s="108" t="s">
        <v>27</v>
      </c>
    </row>
    <row r="44" spans="1:15" ht="13.8" thickBot="1" x14ac:dyDescent="0.3">
      <c r="A44" s="97"/>
      <c r="B44" s="72"/>
      <c r="C44" s="72" t="s">
        <v>71</v>
      </c>
      <c r="D44" s="98">
        <f>SUM(E42:O42)-D42</f>
        <v>0</v>
      </c>
      <c r="E44" s="253" t="str">
        <f>IF(D44=0,"","ERROR - figures do not add across")</f>
        <v/>
      </c>
      <c r="F44" s="72"/>
      <c r="G44" s="72"/>
      <c r="H44" s="72"/>
      <c r="I44" s="72"/>
      <c r="J44" s="72"/>
      <c r="K44" s="72"/>
      <c r="L44" s="72"/>
      <c r="M44" s="72"/>
      <c r="N44" s="72"/>
      <c r="O44" s="99"/>
    </row>
    <row r="46" spans="1:15" ht="13.8" thickBot="1" x14ac:dyDescent="0.3"/>
    <row r="47" spans="1:15" ht="18" thickBot="1" x14ac:dyDescent="0.3">
      <c r="A47" s="109" t="s">
        <v>28</v>
      </c>
      <c r="B47" s="61"/>
      <c r="C47" s="61"/>
      <c r="D47" s="110"/>
      <c r="E47" s="239" t="s">
        <v>10</v>
      </c>
      <c r="F47" s="70">
        <f>O3</f>
        <v>40658</v>
      </c>
      <c r="H47" s="109" t="s">
        <v>132</v>
      </c>
      <c r="I47" s="61"/>
      <c r="J47" s="61"/>
      <c r="K47" s="68"/>
      <c r="L47" s="68"/>
      <c r="M47" s="68"/>
      <c r="N47" s="239" t="s">
        <v>10</v>
      </c>
      <c r="O47" s="70">
        <f>F47</f>
        <v>40658</v>
      </c>
    </row>
    <row r="48" spans="1:15" x14ac:dyDescent="0.25">
      <c r="A48" s="102"/>
      <c r="B48" s="93"/>
      <c r="C48" s="93"/>
      <c r="D48" s="93"/>
      <c r="E48" s="93"/>
      <c r="F48" s="103"/>
      <c r="H48" s="102"/>
      <c r="I48" s="93"/>
      <c r="J48" s="93"/>
      <c r="K48" s="93"/>
      <c r="L48" s="93"/>
      <c r="M48" s="93"/>
      <c r="N48" s="93"/>
      <c r="O48" s="103"/>
    </row>
    <row r="49" spans="1:15" x14ac:dyDescent="0.25">
      <c r="A49" s="111" t="s">
        <v>29</v>
      </c>
      <c r="B49" s="93"/>
      <c r="C49" s="93"/>
      <c r="D49" s="93"/>
      <c r="E49" s="84">
        <v>0</v>
      </c>
      <c r="F49" s="103"/>
      <c r="H49" s="112"/>
      <c r="I49" s="93"/>
      <c r="J49" s="93"/>
      <c r="K49" s="93"/>
      <c r="L49" s="93"/>
      <c r="M49" s="93"/>
      <c r="N49" s="93"/>
      <c r="O49" s="103"/>
    </row>
    <row r="50" spans="1:15" ht="14.4" thickBot="1" x14ac:dyDescent="0.3">
      <c r="A50" s="111" t="s">
        <v>30</v>
      </c>
      <c r="B50" s="93"/>
      <c r="C50" s="94"/>
      <c r="D50" s="94" t="s">
        <v>18</v>
      </c>
      <c r="E50" s="113">
        <f>+D19</f>
        <v>0</v>
      </c>
      <c r="F50" s="103"/>
      <c r="H50" s="112" t="s">
        <v>29</v>
      </c>
      <c r="I50" s="93"/>
      <c r="J50" s="93"/>
      <c r="K50" s="93"/>
      <c r="L50" s="93"/>
      <c r="N50" s="85">
        <v>0</v>
      </c>
      <c r="O50" s="103"/>
    </row>
    <row r="51" spans="1:15" ht="13.8" x14ac:dyDescent="0.25">
      <c r="A51" s="111"/>
      <c r="B51" s="93"/>
      <c r="C51" s="94"/>
      <c r="D51" s="94"/>
      <c r="E51" s="83">
        <f>SUM(E49:E50)</f>
        <v>0</v>
      </c>
      <c r="F51" s="103"/>
      <c r="H51" s="112"/>
      <c r="I51" s="93"/>
      <c r="J51" s="93"/>
      <c r="K51" s="93"/>
      <c r="L51" s="93"/>
      <c r="N51" s="114"/>
      <c r="O51" s="103"/>
    </row>
    <row r="52" spans="1:15" ht="14.4" thickBot="1" x14ac:dyDescent="0.3">
      <c r="A52" s="111" t="s">
        <v>59</v>
      </c>
      <c r="B52" s="93"/>
      <c r="C52" s="94"/>
      <c r="D52" s="94" t="s">
        <v>26</v>
      </c>
      <c r="E52" s="83">
        <f>+D42</f>
        <v>0</v>
      </c>
      <c r="F52" s="103"/>
      <c r="H52" s="112" t="s">
        <v>133</v>
      </c>
      <c r="I52" s="93"/>
      <c r="J52" s="93"/>
      <c r="K52" s="93"/>
      <c r="L52" s="93"/>
      <c r="N52" s="114">
        <f>L42</f>
        <v>0</v>
      </c>
      <c r="O52" s="103"/>
    </row>
    <row r="53" spans="1:15" ht="14.4" thickBot="1" x14ac:dyDescent="0.3">
      <c r="A53" s="111" t="s">
        <v>31</v>
      </c>
      <c r="B53" s="94"/>
      <c r="C53" s="94"/>
      <c r="D53" s="108" t="s">
        <v>32</v>
      </c>
      <c r="E53" s="115">
        <f>SUM(E51-E52)</f>
        <v>0</v>
      </c>
      <c r="F53" s="103"/>
      <c r="H53" s="112"/>
      <c r="I53" s="93"/>
      <c r="J53" s="93"/>
      <c r="K53" s="93"/>
      <c r="L53" s="93"/>
      <c r="N53" s="114"/>
      <c r="O53" s="103"/>
    </row>
    <row r="54" spans="1:15" ht="13.8" thickBot="1" x14ac:dyDescent="0.3">
      <c r="A54" s="102"/>
      <c r="B54" s="93"/>
      <c r="C54" s="93"/>
      <c r="D54" s="93"/>
      <c r="E54" s="93"/>
      <c r="F54" s="103"/>
      <c r="H54" s="112" t="s">
        <v>134</v>
      </c>
      <c r="I54" s="93"/>
      <c r="J54" s="93"/>
      <c r="K54" s="93"/>
      <c r="L54" s="93"/>
      <c r="N54" s="114">
        <f>-D88</f>
        <v>0</v>
      </c>
      <c r="O54" s="103"/>
    </row>
    <row r="55" spans="1:15" ht="18" thickBot="1" x14ac:dyDescent="0.3">
      <c r="A55" s="116" t="s">
        <v>33</v>
      </c>
      <c r="B55" s="117"/>
      <c r="C55" s="61"/>
      <c r="D55" s="118"/>
      <c r="E55" s="93"/>
      <c r="F55" s="103"/>
      <c r="H55" s="112"/>
      <c r="I55" s="93"/>
      <c r="J55" s="93"/>
      <c r="K55" s="93"/>
      <c r="L55" s="93"/>
      <c r="N55" s="114"/>
      <c r="O55" s="103"/>
    </row>
    <row r="56" spans="1:15" ht="13.8" thickBot="1" x14ac:dyDescent="0.3">
      <c r="A56" s="102"/>
      <c r="B56" s="93"/>
      <c r="C56" s="93"/>
      <c r="D56" s="93"/>
      <c r="E56" s="93"/>
      <c r="F56" s="103"/>
      <c r="H56" s="112" t="s">
        <v>31</v>
      </c>
      <c r="I56" s="93"/>
      <c r="J56" s="93"/>
      <c r="K56" s="93"/>
      <c r="L56" s="93"/>
      <c r="N56" s="119">
        <f>SUM(N50:N55)</f>
        <v>0</v>
      </c>
      <c r="O56" s="103"/>
    </row>
    <row r="57" spans="1:15" ht="13.8" thickBot="1" x14ac:dyDescent="0.3">
      <c r="A57" s="111" t="s">
        <v>34</v>
      </c>
      <c r="B57" s="93"/>
      <c r="C57" s="120"/>
      <c r="D57" s="121"/>
      <c r="E57" s="122">
        <v>0</v>
      </c>
      <c r="F57" s="103"/>
      <c r="H57" s="102"/>
      <c r="I57" s="93"/>
      <c r="J57" s="93"/>
      <c r="K57" s="93"/>
      <c r="L57" s="93"/>
      <c r="M57" s="93"/>
      <c r="N57" s="93"/>
      <c r="O57" s="103"/>
    </row>
    <row r="58" spans="1:15" x14ac:dyDescent="0.25">
      <c r="A58" s="111"/>
      <c r="B58" s="93"/>
      <c r="C58" s="120"/>
      <c r="D58" s="121"/>
      <c r="E58" s="83"/>
      <c r="F58" s="103"/>
      <c r="H58" s="102"/>
      <c r="I58" s="93"/>
      <c r="J58" s="93"/>
      <c r="K58" s="93"/>
      <c r="L58" s="93"/>
      <c r="M58" s="93"/>
      <c r="N58" s="93"/>
      <c r="O58" s="103"/>
    </row>
    <row r="59" spans="1:15" x14ac:dyDescent="0.25">
      <c r="A59" s="111" t="s">
        <v>35</v>
      </c>
      <c r="B59" s="93"/>
      <c r="C59" s="120"/>
      <c r="D59" s="123"/>
      <c r="E59" s="83"/>
      <c r="F59" s="103"/>
      <c r="H59" s="102"/>
      <c r="I59" s="93"/>
      <c r="J59" s="93"/>
      <c r="K59" s="93"/>
      <c r="L59" s="93"/>
      <c r="M59" s="93"/>
      <c r="N59" s="93"/>
      <c r="O59" s="103"/>
    </row>
    <row r="60" spans="1:15" x14ac:dyDescent="0.25">
      <c r="A60" s="124"/>
      <c r="B60" s="52"/>
      <c r="C60" s="125"/>
      <c r="D60" s="126"/>
      <c r="E60" s="83"/>
      <c r="F60" s="103"/>
      <c r="H60" s="102"/>
      <c r="I60" s="93"/>
      <c r="J60" s="93"/>
      <c r="K60" s="93"/>
      <c r="L60" s="93"/>
      <c r="M60" s="93"/>
      <c r="N60" s="93"/>
      <c r="O60" s="103"/>
    </row>
    <row r="61" spans="1:15" ht="13.8" thickBot="1" x14ac:dyDescent="0.3">
      <c r="A61" s="124"/>
      <c r="B61" s="52"/>
      <c r="C61" s="125"/>
      <c r="D61" s="126"/>
      <c r="E61" s="127">
        <f>SUM(D59:D61)</f>
        <v>0</v>
      </c>
      <c r="F61" s="103"/>
      <c r="H61" s="102"/>
      <c r="I61" s="93"/>
      <c r="J61" s="93"/>
      <c r="K61" s="93"/>
      <c r="L61" s="93"/>
      <c r="M61" s="93"/>
      <c r="N61" s="93"/>
      <c r="O61" s="103"/>
    </row>
    <row r="62" spans="1:15" x14ac:dyDescent="0.25">
      <c r="A62" s="111"/>
      <c r="B62" s="93"/>
      <c r="C62" s="120"/>
      <c r="D62" s="123"/>
      <c r="E62" s="83">
        <f>SUM(E57:E61)</f>
        <v>0</v>
      </c>
      <c r="F62" s="103"/>
      <c r="H62" s="102"/>
      <c r="I62" s="93"/>
      <c r="J62" s="93"/>
      <c r="K62" s="93"/>
      <c r="L62" s="93"/>
      <c r="M62" s="93"/>
      <c r="N62" s="93"/>
      <c r="O62" s="103"/>
    </row>
    <row r="63" spans="1:15" x14ac:dyDescent="0.25">
      <c r="A63" s="111" t="s">
        <v>36</v>
      </c>
      <c r="B63" s="93"/>
      <c r="C63" s="128"/>
      <c r="D63" s="129"/>
      <c r="E63" s="83"/>
      <c r="F63" s="103"/>
      <c r="H63" s="102"/>
      <c r="I63" s="93"/>
      <c r="J63" s="93"/>
      <c r="K63" s="93"/>
      <c r="L63" s="93"/>
      <c r="M63" s="93"/>
      <c r="N63" s="93"/>
      <c r="O63" s="103"/>
    </row>
    <row r="64" spans="1:15" x14ac:dyDescent="0.25">
      <c r="A64" s="124"/>
      <c r="B64" s="52"/>
      <c r="C64" s="60"/>
      <c r="D64" s="130"/>
      <c r="E64" s="83"/>
      <c r="F64" s="103"/>
      <c r="H64" s="102"/>
      <c r="I64" s="93"/>
      <c r="J64" s="93"/>
      <c r="K64" s="93"/>
      <c r="L64" s="93"/>
      <c r="M64" s="93"/>
      <c r="N64" s="93"/>
      <c r="O64" s="103"/>
    </row>
    <row r="65" spans="1:15" x14ac:dyDescent="0.25">
      <c r="A65" s="124"/>
      <c r="B65" s="52"/>
      <c r="C65" s="60"/>
      <c r="D65" s="130"/>
      <c r="E65" s="83"/>
      <c r="F65" s="103"/>
      <c r="H65" s="102"/>
      <c r="I65" s="93"/>
      <c r="J65" s="93"/>
      <c r="K65" s="93"/>
      <c r="L65" s="93"/>
      <c r="M65" s="93"/>
      <c r="N65" s="93"/>
      <c r="O65" s="103"/>
    </row>
    <row r="66" spans="1:15" ht="13.8" thickBot="1" x14ac:dyDescent="0.3">
      <c r="A66" s="124"/>
      <c r="B66" s="52"/>
      <c r="C66" s="125"/>
      <c r="D66" s="126"/>
      <c r="E66" s="83">
        <f>SUM(D63:D66)</f>
        <v>0</v>
      </c>
      <c r="F66" s="103"/>
      <c r="H66" s="102"/>
      <c r="I66" s="93"/>
      <c r="J66" s="93"/>
      <c r="K66" s="93"/>
      <c r="L66" s="93"/>
      <c r="M66" s="93"/>
      <c r="N66" s="93"/>
      <c r="O66" s="103"/>
    </row>
    <row r="67" spans="1:15" ht="16.2" thickBot="1" x14ac:dyDescent="0.3">
      <c r="A67" s="131" t="s">
        <v>37</v>
      </c>
      <c r="B67" s="132"/>
      <c r="C67" s="132"/>
      <c r="D67" s="132" t="s">
        <v>32</v>
      </c>
      <c r="E67" s="115">
        <f>SUM(E62-E66)</f>
        <v>0</v>
      </c>
      <c r="F67" s="99"/>
      <c r="H67" s="133"/>
      <c r="I67" s="72"/>
      <c r="J67" s="72"/>
      <c r="K67" s="72"/>
      <c r="L67" s="72"/>
      <c r="M67" s="72"/>
      <c r="N67" s="72"/>
      <c r="O67" s="99"/>
    </row>
    <row r="69" spans="1:15" ht="13.8" thickBot="1" x14ac:dyDescent="0.3"/>
    <row r="70" spans="1:15" ht="18" thickBot="1" x14ac:dyDescent="0.3">
      <c r="A70" s="100" t="s">
        <v>38</v>
      </c>
      <c r="B70" s="101"/>
      <c r="C70" s="61"/>
      <c r="D70" s="68"/>
      <c r="E70" s="68"/>
      <c r="F70" s="68"/>
      <c r="G70" s="68"/>
      <c r="H70" s="68"/>
      <c r="I70" s="68"/>
      <c r="J70" s="68"/>
      <c r="K70" s="68"/>
      <c r="L70" s="68"/>
      <c r="M70" s="68"/>
      <c r="N70" s="239" t="s">
        <v>10</v>
      </c>
      <c r="O70" s="70">
        <f>O3</f>
        <v>40658</v>
      </c>
    </row>
    <row r="71" spans="1:15" ht="13.8" thickBot="1" x14ac:dyDescent="0.3">
      <c r="A71" s="102"/>
      <c r="B71" s="93"/>
      <c r="C71" s="93"/>
      <c r="D71" s="93"/>
      <c r="E71" s="93"/>
      <c r="F71" s="93"/>
      <c r="G71" s="93"/>
      <c r="H71" s="93"/>
      <c r="I71" s="93"/>
      <c r="J71" s="93"/>
      <c r="K71" s="93"/>
      <c r="L71" s="93"/>
      <c r="M71" s="93"/>
      <c r="N71" s="93"/>
      <c r="O71" s="103"/>
    </row>
    <row r="72" spans="1:15" s="79" customFormat="1" ht="27" customHeight="1" thickBot="1" x14ac:dyDescent="0.3">
      <c r="A72" s="74" t="s">
        <v>12</v>
      </c>
      <c r="B72" s="75" t="s">
        <v>129</v>
      </c>
      <c r="C72" s="105" t="s">
        <v>123</v>
      </c>
      <c r="D72" s="106" t="s">
        <v>64</v>
      </c>
      <c r="E72" s="107" t="s">
        <v>23</v>
      </c>
      <c r="F72" s="107" t="s">
        <v>67</v>
      </c>
      <c r="G72" s="107" t="s">
        <v>39</v>
      </c>
      <c r="H72" s="107" t="s">
        <v>40</v>
      </c>
      <c r="I72" s="77" t="s">
        <v>124</v>
      </c>
      <c r="J72" s="107" t="s">
        <v>57</v>
      </c>
      <c r="K72" s="107" t="s">
        <v>11</v>
      </c>
      <c r="L72" s="107" t="s">
        <v>11</v>
      </c>
      <c r="M72" s="107" t="s">
        <v>11</v>
      </c>
      <c r="N72" s="107" t="s">
        <v>16</v>
      </c>
      <c r="O72" s="134" t="s">
        <v>142</v>
      </c>
    </row>
    <row r="73" spans="1:15" x14ac:dyDescent="0.25">
      <c r="A73" s="80"/>
      <c r="B73" s="81"/>
      <c r="C73" s="82"/>
      <c r="D73" s="83">
        <f t="shared" ref="D73:D86" si="4">SUM(E73:O73)</f>
        <v>0</v>
      </c>
      <c r="E73" s="84"/>
      <c r="F73" s="84"/>
      <c r="G73" s="84"/>
      <c r="H73" s="84"/>
      <c r="I73" s="84"/>
      <c r="J73" s="84"/>
      <c r="K73" s="84"/>
      <c r="L73" s="84"/>
      <c r="M73" s="84"/>
      <c r="N73" s="85"/>
      <c r="O73" s="86"/>
    </row>
    <row r="74" spans="1:15" x14ac:dyDescent="0.25">
      <c r="A74" s="80"/>
      <c r="B74" s="81"/>
      <c r="C74" s="82"/>
      <c r="D74" s="83">
        <f t="shared" si="4"/>
        <v>0</v>
      </c>
      <c r="E74" s="84"/>
      <c r="F74" s="84"/>
      <c r="G74" s="84"/>
      <c r="H74" s="84"/>
      <c r="I74" s="84"/>
      <c r="J74" s="84"/>
      <c r="K74" s="84"/>
      <c r="L74" s="84"/>
      <c r="M74" s="84"/>
      <c r="N74" s="85"/>
      <c r="O74" s="86"/>
    </row>
    <row r="75" spans="1:15" x14ac:dyDescent="0.25">
      <c r="A75" s="80"/>
      <c r="B75" s="81"/>
      <c r="C75" s="82"/>
      <c r="D75" s="83">
        <f t="shared" si="4"/>
        <v>0</v>
      </c>
      <c r="E75" s="84"/>
      <c r="F75" s="84"/>
      <c r="G75" s="84"/>
      <c r="H75" s="84"/>
      <c r="I75" s="84"/>
      <c r="J75" s="84"/>
      <c r="K75" s="84"/>
      <c r="L75" s="84"/>
      <c r="M75" s="84"/>
      <c r="N75" s="85"/>
      <c r="O75" s="86"/>
    </row>
    <row r="76" spans="1:15" x14ac:dyDescent="0.25">
      <c r="A76" s="80"/>
      <c r="B76" s="81"/>
      <c r="C76" s="82"/>
      <c r="D76" s="83">
        <f t="shared" si="4"/>
        <v>0</v>
      </c>
      <c r="E76" s="84"/>
      <c r="F76" s="84"/>
      <c r="G76" s="84"/>
      <c r="H76" s="84"/>
      <c r="I76" s="84"/>
      <c r="J76" s="84"/>
      <c r="K76" s="84"/>
      <c r="L76" s="84"/>
      <c r="M76" s="84"/>
      <c r="N76" s="85"/>
      <c r="O76" s="86"/>
    </row>
    <row r="77" spans="1:15" x14ac:dyDescent="0.25">
      <c r="A77" s="80"/>
      <c r="B77" s="81"/>
      <c r="C77" s="82"/>
      <c r="D77" s="83">
        <f t="shared" si="4"/>
        <v>0</v>
      </c>
      <c r="E77" s="84"/>
      <c r="F77" s="84"/>
      <c r="G77" s="84"/>
      <c r="H77" s="84"/>
      <c r="I77" s="84"/>
      <c r="J77" s="84"/>
      <c r="K77" s="84"/>
      <c r="L77" s="84"/>
      <c r="M77" s="84"/>
      <c r="N77" s="85"/>
      <c r="O77" s="86"/>
    </row>
    <row r="78" spans="1:15" x14ac:dyDescent="0.25">
      <c r="A78" s="80"/>
      <c r="B78" s="81"/>
      <c r="C78" s="82"/>
      <c r="D78" s="83">
        <f t="shared" si="4"/>
        <v>0</v>
      </c>
      <c r="E78" s="84"/>
      <c r="F78" s="84"/>
      <c r="G78" s="84"/>
      <c r="H78" s="84"/>
      <c r="I78" s="84"/>
      <c r="J78" s="84"/>
      <c r="K78" s="84"/>
      <c r="L78" s="84"/>
      <c r="M78" s="84"/>
      <c r="N78" s="85"/>
      <c r="O78" s="86"/>
    </row>
    <row r="79" spans="1:15" x14ac:dyDescent="0.25">
      <c r="A79" s="80"/>
      <c r="B79" s="81"/>
      <c r="C79" s="82"/>
      <c r="D79" s="83">
        <f t="shared" si="4"/>
        <v>0</v>
      </c>
      <c r="E79" s="84"/>
      <c r="F79" s="84"/>
      <c r="G79" s="84"/>
      <c r="H79" s="84"/>
      <c r="I79" s="84"/>
      <c r="J79" s="84"/>
      <c r="K79" s="84"/>
      <c r="L79" s="84"/>
      <c r="M79" s="84"/>
      <c r="N79" s="85"/>
      <c r="O79" s="86"/>
    </row>
    <row r="80" spans="1:15" x14ac:dyDescent="0.25">
      <c r="A80" s="80"/>
      <c r="B80" s="81"/>
      <c r="C80" s="82"/>
      <c r="D80" s="83">
        <f t="shared" si="4"/>
        <v>0</v>
      </c>
      <c r="E80" s="84"/>
      <c r="F80" s="84"/>
      <c r="G80" s="84"/>
      <c r="H80" s="84"/>
      <c r="I80" s="84"/>
      <c r="J80" s="84"/>
      <c r="K80" s="84"/>
      <c r="L80" s="84"/>
      <c r="M80" s="84"/>
      <c r="N80" s="85"/>
      <c r="O80" s="86"/>
    </row>
    <row r="81" spans="1:15" x14ac:dyDescent="0.25">
      <c r="A81" s="80"/>
      <c r="B81" s="81"/>
      <c r="C81" s="60"/>
      <c r="D81" s="83">
        <f t="shared" si="4"/>
        <v>0</v>
      </c>
      <c r="E81" s="84"/>
      <c r="F81" s="84"/>
      <c r="G81" s="84"/>
      <c r="H81" s="84"/>
      <c r="I81" s="84"/>
      <c r="J81" s="84"/>
      <c r="K81" s="84"/>
      <c r="L81" s="84"/>
      <c r="M81" s="84"/>
      <c r="N81" s="85"/>
      <c r="O81" s="86"/>
    </row>
    <row r="82" spans="1:15" x14ac:dyDescent="0.25">
      <c r="A82" s="80"/>
      <c r="B82" s="81"/>
      <c r="C82" s="60"/>
      <c r="D82" s="83">
        <f t="shared" si="4"/>
        <v>0</v>
      </c>
      <c r="E82" s="84"/>
      <c r="F82" s="84"/>
      <c r="G82" s="84"/>
      <c r="H82" s="84"/>
      <c r="I82" s="84"/>
      <c r="J82" s="84"/>
      <c r="K82" s="84"/>
      <c r="L82" s="84"/>
      <c r="M82" s="84"/>
      <c r="N82" s="85"/>
      <c r="O82" s="86"/>
    </row>
    <row r="83" spans="1:15" x14ac:dyDescent="0.25">
      <c r="A83" s="80"/>
      <c r="B83" s="81"/>
      <c r="C83" s="60"/>
      <c r="D83" s="83">
        <f t="shared" si="4"/>
        <v>0</v>
      </c>
      <c r="E83" s="84"/>
      <c r="F83" s="84"/>
      <c r="G83" s="84"/>
      <c r="H83" s="84"/>
      <c r="I83" s="84"/>
      <c r="J83" s="84"/>
      <c r="K83" s="84"/>
      <c r="L83" s="84"/>
      <c r="M83" s="84"/>
      <c r="N83" s="85"/>
      <c r="O83" s="86"/>
    </row>
    <row r="84" spans="1:15" x14ac:dyDescent="0.25">
      <c r="A84" s="80"/>
      <c r="B84" s="81"/>
      <c r="C84" s="60"/>
      <c r="D84" s="83">
        <f t="shared" si="4"/>
        <v>0</v>
      </c>
      <c r="E84" s="84"/>
      <c r="F84" s="84"/>
      <c r="G84" s="84"/>
      <c r="H84" s="84"/>
      <c r="I84" s="84"/>
      <c r="J84" s="84"/>
      <c r="K84" s="84"/>
      <c r="L84" s="84"/>
      <c r="M84" s="84"/>
      <c r="N84" s="85"/>
      <c r="O84" s="86"/>
    </row>
    <row r="85" spans="1:15" x14ac:dyDescent="0.25">
      <c r="A85" s="80"/>
      <c r="B85" s="81"/>
      <c r="C85" s="60"/>
      <c r="D85" s="83">
        <f t="shared" si="4"/>
        <v>0</v>
      </c>
      <c r="E85" s="84"/>
      <c r="F85" s="84"/>
      <c r="G85" s="84"/>
      <c r="H85" s="84"/>
      <c r="I85" s="84"/>
      <c r="J85" s="84"/>
      <c r="K85" s="84"/>
      <c r="L85" s="84"/>
      <c r="M85" s="84"/>
      <c r="N85" s="84"/>
      <c r="O85" s="86"/>
    </row>
    <row r="86" spans="1:15" x14ac:dyDescent="0.25">
      <c r="A86" s="135"/>
      <c r="B86" s="81"/>
      <c r="C86" s="60"/>
      <c r="D86" s="83">
        <f t="shared" si="4"/>
        <v>0</v>
      </c>
      <c r="E86" s="84"/>
      <c r="F86" s="84"/>
      <c r="G86" s="84"/>
      <c r="H86" s="84"/>
      <c r="I86" s="84"/>
      <c r="J86" s="84"/>
      <c r="K86" s="84"/>
      <c r="L86" s="84"/>
      <c r="M86" s="84"/>
      <c r="N86" s="84"/>
      <c r="O86" s="86"/>
    </row>
    <row r="87" spans="1:15" ht="13.8" thickBot="1" x14ac:dyDescent="0.3">
      <c r="A87" s="80"/>
      <c r="B87" s="81"/>
      <c r="C87" s="60"/>
      <c r="D87" s="83"/>
      <c r="E87" s="84" t="s">
        <v>11</v>
      </c>
      <c r="F87" s="84"/>
      <c r="G87" s="84"/>
      <c r="H87" s="84"/>
      <c r="I87" s="84"/>
      <c r="J87" s="84"/>
      <c r="K87" s="84"/>
      <c r="L87" s="84"/>
      <c r="M87" s="84"/>
      <c r="N87" s="84"/>
      <c r="O87" s="86"/>
    </row>
    <row r="88" spans="1:15" ht="16.2" thickBot="1" x14ac:dyDescent="0.3">
      <c r="A88" s="87"/>
      <c r="B88" s="88"/>
      <c r="C88" s="89" t="s">
        <v>17</v>
      </c>
      <c r="D88" s="90">
        <f t="shared" ref="D88:J88" si="5">SUM(D73:D87)</f>
        <v>0</v>
      </c>
      <c r="E88" s="91">
        <f t="shared" si="5"/>
        <v>0</v>
      </c>
      <c r="F88" s="91">
        <f t="shared" si="5"/>
        <v>0</v>
      </c>
      <c r="G88" s="91">
        <f t="shared" si="5"/>
        <v>0</v>
      </c>
      <c r="H88" s="91">
        <f t="shared" si="5"/>
        <v>0</v>
      </c>
      <c r="I88" s="91">
        <f t="shared" si="5"/>
        <v>0</v>
      </c>
      <c r="J88" s="91">
        <f t="shared" si="5"/>
        <v>0</v>
      </c>
      <c r="K88" s="91">
        <f>SUM(K73:K87)</f>
        <v>0</v>
      </c>
      <c r="L88" s="91">
        <f>SUM(L73:L87)</f>
        <v>0</v>
      </c>
      <c r="M88" s="91">
        <f>SUM(M73:M87)</f>
        <v>0</v>
      </c>
      <c r="N88" s="91">
        <f>SUM(N73:N87)</f>
        <v>0</v>
      </c>
      <c r="O88" s="92">
        <f>SUM(O73:O87)</f>
        <v>0</v>
      </c>
    </row>
    <row r="89" spans="1:15" ht="15" customHeight="1" x14ac:dyDescent="0.25">
      <c r="A89" s="87"/>
      <c r="B89" s="93"/>
      <c r="C89" s="93"/>
      <c r="D89" s="93"/>
      <c r="E89" s="93"/>
      <c r="F89" s="93"/>
      <c r="G89" s="93"/>
      <c r="H89" s="93"/>
      <c r="I89" s="93"/>
      <c r="J89" s="93"/>
      <c r="K89" s="93"/>
      <c r="L89" s="93"/>
      <c r="M89" s="93"/>
      <c r="N89" s="93"/>
      <c r="O89" s="136" t="s">
        <v>41</v>
      </c>
    </row>
    <row r="90" spans="1:15" ht="13.5" customHeight="1" thickBot="1" x14ac:dyDescent="0.3">
      <c r="A90" s="97"/>
      <c r="B90" s="72"/>
      <c r="C90" s="72" t="s">
        <v>71</v>
      </c>
      <c r="D90" s="98">
        <f>SUM(E88:O88)-D88</f>
        <v>0</v>
      </c>
      <c r="E90" s="253" t="str">
        <f>IF(D90=0,"","ERROR - figures do not add across")</f>
        <v/>
      </c>
      <c r="F90" s="72"/>
      <c r="G90" s="72"/>
      <c r="H90" s="72"/>
      <c r="I90" s="72"/>
      <c r="J90" s="72"/>
      <c r="K90" s="72"/>
      <c r="L90" s="72"/>
      <c r="M90" s="72"/>
      <c r="N90" s="72"/>
      <c r="O90" s="137"/>
    </row>
  </sheetData>
  <customSheetViews>
    <customSheetView guid="{93A5533C-1BF0-4CFD-B527-DBAD1AD08F71}" fitToPage="1" showRuler="0">
      <selection activeCell="B13" sqref="B13"/>
      <pageMargins left="0.59055118110236227" right="0.15748031496062992" top="0.59055118110236227" bottom="0.59055118110236227" header="0.31496062992125984" footer="0.31496062992125984"/>
      <printOptions horizontalCentered="1"/>
      <pageSetup paperSize="9" scale="58" orientation="portrait" r:id="rId1"/>
      <headerFooter alignWithMargins="0">
        <oddHeader>&amp;C&amp;A</oddHeader>
        <oddFooter>&amp;L&amp;F&amp;CPage &amp;P&amp;R&amp;D</oddFooter>
      </headerFooter>
    </customSheetView>
  </customSheetViews>
  <phoneticPr fontId="0" type="noConversion"/>
  <printOptions horizontalCentered="1"/>
  <pageMargins left="0.59055118110236227" right="0.39370078740157483" top="0.59055118110236227" bottom="0.59055118110236227" header="0.31496062992125984" footer="0.31496062992125984"/>
  <pageSetup paperSize="9" scale="59" orientation="portrait" r:id="rId2"/>
  <headerFooter alignWithMargins="0">
    <oddHeader>&amp;C&amp;A</oddHeader>
    <oddFooter>&amp;L&amp;Z&amp;F\&amp;A&amp;CPage &amp;P&amp;R&amp;D  &amp;T</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O90"/>
  <sheetViews>
    <sheetView zoomScale="85" workbookViewId="0">
      <selection activeCell="A7" sqref="A7"/>
    </sheetView>
  </sheetViews>
  <sheetFormatPr defaultColWidth="9.109375" defaultRowHeight="13.2" x14ac:dyDescent="0.25"/>
  <cols>
    <col min="1" max="1" width="10" style="66" customWidth="1"/>
    <col min="2" max="2" width="4.5546875" style="66" customWidth="1"/>
    <col min="3" max="3" width="25.6640625" style="66" customWidth="1"/>
    <col min="4" max="4" width="10.109375" style="66" customWidth="1"/>
    <col min="5" max="5" width="10" style="66" bestFit="1" customWidth="1"/>
    <col min="6" max="6" width="12.5546875" style="66" bestFit="1" customWidth="1"/>
    <col min="7" max="7" width="9.88671875" style="66" bestFit="1" customWidth="1"/>
    <col min="8" max="8" width="11.44140625" style="66" bestFit="1" customWidth="1"/>
    <col min="9" max="9" width="10.88671875" style="66" bestFit="1" customWidth="1"/>
    <col min="10" max="10" width="10.6640625" style="66" bestFit="1" customWidth="1"/>
    <col min="11" max="11" width="9.109375" style="66"/>
    <col min="12" max="12" width="7.109375" style="66" customWidth="1"/>
    <col min="13" max="13" width="8.88671875" style="66" customWidth="1"/>
    <col min="14" max="14" width="9.88671875" style="66" bestFit="1" customWidth="1"/>
    <col min="15" max="15" width="9.5546875" style="66" bestFit="1" customWidth="1"/>
    <col min="16" max="16384" width="9.109375" style="66"/>
  </cols>
  <sheetData>
    <row r="1" spans="1:15" ht="16.2" thickBot="1" x14ac:dyDescent="0.3">
      <c r="A1" s="63" t="str">
        <f>'Company Info'!B5</f>
        <v>ABC Limited</v>
      </c>
      <c r="B1" s="64"/>
      <c r="C1" s="64"/>
      <c r="D1" s="65"/>
    </row>
    <row r="2" spans="1:15" ht="13.8" thickBot="1" x14ac:dyDescent="0.3"/>
    <row r="3" spans="1:15" ht="18" thickBot="1" x14ac:dyDescent="0.3">
      <c r="A3" s="67" t="s">
        <v>9</v>
      </c>
      <c r="B3" s="61"/>
      <c r="C3" s="61"/>
      <c r="D3" s="68"/>
      <c r="E3" s="68"/>
      <c r="F3" s="68"/>
      <c r="G3" s="68"/>
      <c r="H3" s="68"/>
      <c r="I3" s="68"/>
      <c r="J3" s="68"/>
      <c r="K3" s="68"/>
      <c r="L3" s="68"/>
      <c r="M3" s="68"/>
      <c r="N3" s="239" t="s">
        <v>10</v>
      </c>
      <c r="O3" s="70">
        <f>'Month 3'!O3-31</f>
        <v>40689</v>
      </c>
    </row>
    <row r="4" spans="1:15" ht="13.8" thickBot="1" x14ac:dyDescent="0.3">
      <c r="A4" s="71"/>
      <c r="B4" s="68"/>
      <c r="C4" s="68"/>
      <c r="D4" s="72"/>
      <c r="E4" s="72"/>
      <c r="F4" s="72"/>
      <c r="G4" s="72"/>
      <c r="H4" s="72"/>
      <c r="N4" s="68"/>
      <c r="O4" s="73"/>
    </row>
    <row r="5" spans="1:15" s="79" customFormat="1" ht="26.25" customHeight="1" thickBot="1" x14ac:dyDescent="0.3">
      <c r="A5" s="74" t="s">
        <v>12</v>
      </c>
      <c r="B5" s="75" t="s">
        <v>130</v>
      </c>
      <c r="C5" s="76" t="s">
        <v>123</v>
      </c>
      <c r="D5" s="75" t="s">
        <v>13</v>
      </c>
      <c r="E5" s="77" t="str">
        <f>'Month 1'!E5</f>
        <v>Net Sales</v>
      </c>
      <c r="F5" s="77" t="str">
        <f>'Month 1'!F5</f>
        <v>Expenses Reimbursed</v>
      </c>
      <c r="G5" s="77" t="str">
        <f>'Month 1'!G5</f>
        <v>VAT</v>
      </c>
      <c r="H5" s="77" t="str">
        <f>'Month 1'!H5</f>
        <v>Interest Received</v>
      </c>
      <c r="I5" s="77" t="str">
        <f>'Month 1'!I5</f>
        <v>Tax Refunds</v>
      </c>
      <c r="J5" s="77" t="str">
        <f>'Month 1'!J5</f>
        <v>Company Dep A/C</v>
      </c>
      <c r="K5" s="77">
        <f>'Month 1'!K5</f>
        <v>0</v>
      </c>
      <c r="L5" s="77">
        <f>'Month 1'!L5</f>
        <v>0</v>
      </c>
      <c r="M5" s="77">
        <f>'Month 1'!M5</f>
        <v>0</v>
      </c>
      <c r="N5" s="77">
        <f>'Month 1'!N5</f>
        <v>0</v>
      </c>
      <c r="O5" s="78" t="str">
        <f>'Month 1'!O5</f>
        <v>Sundries</v>
      </c>
    </row>
    <row r="6" spans="1:15" x14ac:dyDescent="0.25">
      <c r="A6" s="80"/>
      <c r="B6" s="81"/>
      <c r="C6" s="60"/>
      <c r="D6" s="83">
        <f t="shared" ref="D6:D17" si="0">SUM(E6:O6)</f>
        <v>0</v>
      </c>
      <c r="E6" s="84"/>
      <c r="F6" s="84"/>
      <c r="G6" s="84"/>
      <c r="H6" s="84"/>
      <c r="I6" s="84"/>
      <c r="J6" s="84"/>
      <c r="K6" s="84"/>
      <c r="L6" s="84"/>
      <c r="M6" s="84"/>
      <c r="N6" s="84"/>
      <c r="O6" s="86"/>
    </row>
    <row r="7" spans="1:15" x14ac:dyDescent="0.25">
      <c r="A7" s="80"/>
      <c r="B7" s="81"/>
      <c r="C7" s="60"/>
      <c r="D7" s="83">
        <f t="shared" si="0"/>
        <v>0</v>
      </c>
      <c r="E7" s="84"/>
      <c r="F7" s="84"/>
      <c r="G7" s="84"/>
      <c r="H7" s="84"/>
      <c r="I7" s="84"/>
      <c r="J7" s="84"/>
      <c r="K7" s="84"/>
      <c r="L7" s="84"/>
      <c r="M7" s="84"/>
      <c r="N7" s="84"/>
      <c r="O7" s="86"/>
    </row>
    <row r="8" spans="1:15" x14ac:dyDescent="0.25">
      <c r="A8" s="80"/>
      <c r="B8" s="81"/>
      <c r="C8" s="60"/>
      <c r="D8" s="83">
        <f t="shared" si="0"/>
        <v>0</v>
      </c>
      <c r="E8" s="84"/>
      <c r="F8" s="84"/>
      <c r="G8" s="84"/>
      <c r="H8" s="84"/>
      <c r="I8" s="84"/>
      <c r="J8" s="84"/>
      <c r="K8" s="84"/>
      <c r="L8" s="84"/>
      <c r="M8" s="84"/>
      <c r="N8" s="84"/>
      <c r="O8" s="86"/>
    </row>
    <row r="9" spans="1:15" x14ac:dyDescent="0.25">
      <c r="A9" s="80"/>
      <c r="B9" s="81"/>
      <c r="C9" s="60"/>
      <c r="D9" s="83">
        <f t="shared" si="0"/>
        <v>0</v>
      </c>
      <c r="E9" s="84"/>
      <c r="F9" s="84"/>
      <c r="G9" s="84"/>
      <c r="H9" s="84"/>
      <c r="I9" s="84"/>
      <c r="J9" s="84"/>
      <c r="K9" s="84"/>
      <c r="L9" s="84"/>
      <c r="M9" s="84"/>
      <c r="N9" s="84"/>
      <c r="O9" s="86"/>
    </row>
    <row r="10" spans="1:15" x14ac:dyDescent="0.25">
      <c r="A10" s="80"/>
      <c r="B10" s="81"/>
      <c r="C10" s="60"/>
      <c r="D10" s="83">
        <f t="shared" si="0"/>
        <v>0</v>
      </c>
      <c r="E10" s="84"/>
      <c r="F10" s="84"/>
      <c r="G10" s="84"/>
      <c r="H10" s="84"/>
      <c r="I10" s="84"/>
      <c r="J10" s="84"/>
      <c r="K10" s="84"/>
      <c r="L10" s="84"/>
      <c r="M10" s="84"/>
      <c r="N10" s="84"/>
      <c r="O10" s="86"/>
    </row>
    <row r="11" spans="1:15" x14ac:dyDescent="0.25">
      <c r="A11" s="80"/>
      <c r="B11" s="81"/>
      <c r="C11" s="60"/>
      <c r="D11" s="83">
        <f t="shared" si="0"/>
        <v>0</v>
      </c>
      <c r="E11" s="84"/>
      <c r="F11" s="84"/>
      <c r="G11" s="84"/>
      <c r="H11" s="84"/>
      <c r="I11" s="84"/>
      <c r="J11" s="84"/>
      <c r="K11" s="84"/>
      <c r="L11" s="84"/>
      <c r="M11" s="84"/>
      <c r="N11" s="84"/>
      <c r="O11" s="86"/>
    </row>
    <row r="12" spans="1:15" x14ac:dyDescent="0.25">
      <c r="A12" s="80"/>
      <c r="B12" s="81"/>
      <c r="C12" s="60"/>
      <c r="D12" s="83">
        <f t="shared" si="0"/>
        <v>0</v>
      </c>
      <c r="E12" s="84"/>
      <c r="F12" s="84"/>
      <c r="G12" s="84"/>
      <c r="H12" s="84"/>
      <c r="I12" s="84"/>
      <c r="J12" s="84"/>
      <c r="K12" s="84"/>
      <c r="L12" s="84"/>
      <c r="M12" s="84"/>
      <c r="N12" s="84"/>
      <c r="O12" s="86"/>
    </row>
    <row r="13" spans="1:15" x14ac:dyDescent="0.25">
      <c r="A13" s="80"/>
      <c r="B13" s="81"/>
      <c r="C13" s="60"/>
      <c r="D13" s="83">
        <f t="shared" si="0"/>
        <v>0</v>
      </c>
      <c r="E13" s="84"/>
      <c r="F13" s="84"/>
      <c r="G13" s="84"/>
      <c r="H13" s="84"/>
      <c r="I13" s="84"/>
      <c r="J13" s="84"/>
      <c r="K13" s="84"/>
      <c r="L13" s="84"/>
      <c r="M13" s="84"/>
      <c r="N13" s="84"/>
      <c r="O13" s="86"/>
    </row>
    <row r="14" spans="1:15" x14ac:dyDescent="0.25">
      <c r="A14" s="80"/>
      <c r="B14" s="81"/>
      <c r="C14" s="60"/>
      <c r="D14" s="83">
        <f t="shared" si="0"/>
        <v>0</v>
      </c>
      <c r="E14" s="84"/>
      <c r="F14" s="84"/>
      <c r="G14" s="84"/>
      <c r="H14" s="84"/>
      <c r="I14" s="84"/>
      <c r="J14" s="84"/>
      <c r="K14" s="84"/>
      <c r="L14" s="84"/>
      <c r="M14" s="84"/>
      <c r="N14" s="84"/>
      <c r="O14" s="86"/>
    </row>
    <row r="15" spans="1:15" x14ac:dyDescent="0.25">
      <c r="A15" s="80"/>
      <c r="B15" s="81"/>
      <c r="C15" s="60"/>
      <c r="D15" s="83">
        <f t="shared" si="0"/>
        <v>0</v>
      </c>
      <c r="E15" s="84"/>
      <c r="F15" s="84"/>
      <c r="G15" s="84"/>
      <c r="H15" s="84"/>
      <c r="I15" s="84"/>
      <c r="J15" s="84"/>
      <c r="K15" s="84"/>
      <c r="L15" s="84"/>
      <c r="M15" s="84"/>
      <c r="N15" s="84"/>
      <c r="O15" s="86"/>
    </row>
    <row r="16" spans="1:15" x14ac:dyDescent="0.25">
      <c r="A16" s="80"/>
      <c r="B16" s="81"/>
      <c r="C16" s="60"/>
      <c r="D16" s="83">
        <f t="shared" si="0"/>
        <v>0</v>
      </c>
      <c r="E16" s="84"/>
      <c r="F16" s="84"/>
      <c r="G16" s="84"/>
      <c r="H16" s="84"/>
      <c r="I16" s="84"/>
      <c r="J16" s="84"/>
      <c r="K16" s="84"/>
      <c r="L16" s="84"/>
      <c r="M16" s="84"/>
      <c r="N16" s="84"/>
      <c r="O16" s="86"/>
    </row>
    <row r="17" spans="1:15" x14ac:dyDescent="0.25">
      <c r="A17" s="80"/>
      <c r="B17" s="81"/>
      <c r="C17" s="60"/>
      <c r="D17" s="83">
        <f t="shared" si="0"/>
        <v>0</v>
      </c>
      <c r="E17" s="84"/>
      <c r="F17" s="84"/>
      <c r="G17" s="84"/>
      <c r="H17" s="84"/>
      <c r="I17" s="84"/>
      <c r="J17" s="84"/>
      <c r="K17" s="84"/>
      <c r="L17" s="84"/>
      <c r="M17" s="84"/>
      <c r="N17" s="84"/>
      <c r="O17" s="86"/>
    </row>
    <row r="18" spans="1:15" ht="13.8" thickBot="1" x14ac:dyDescent="0.3">
      <c r="A18" s="80"/>
      <c r="B18" s="81"/>
      <c r="C18" s="60"/>
      <c r="D18" s="83"/>
      <c r="E18" s="84"/>
      <c r="F18" s="84"/>
      <c r="G18" s="84"/>
      <c r="H18" s="84"/>
      <c r="I18" s="19"/>
      <c r="J18" s="19"/>
      <c r="K18" s="19"/>
      <c r="L18" s="19"/>
      <c r="M18" s="19"/>
      <c r="N18" s="85"/>
      <c r="O18" s="86"/>
    </row>
    <row r="19" spans="1:15" ht="16.2" thickBot="1" x14ac:dyDescent="0.3">
      <c r="A19" s="87"/>
      <c r="B19" s="88"/>
      <c r="C19" s="89" t="s">
        <v>17</v>
      </c>
      <c r="D19" s="90">
        <f t="shared" ref="D19:O19" si="1">SUM(D6:D18)</f>
        <v>0</v>
      </c>
      <c r="E19" s="91">
        <f t="shared" si="1"/>
        <v>0</v>
      </c>
      <c r="F19" s="91">
        <f t="shared" si="1"/>
        <v>0</v>
      </c>
      <c r="G19" s="91">
        <f t="shared" si="1"/>
        <v>0</v>
      </c>
      <c r="H19" s="91">
        <f t="shared" si="1"/>
        <v>0</v>
      </c>
      <c r="I19" s="91">
        <f t="shared" si="1"/>
        <v>0</v>
      </c>
      <c r="J19" s="91">
        <f t="shared" si="1"/>
        <v>0</v>
      </c>
      <c r="K19" s="91">
        <f t="shared" si="1"/>
        <v>0</v>
      </c>
      <c r="L19" s="91">
        <f t="shared" si="1"/>
        <v>0</v>
      </c>
      <c r="M19" s="91">
        <f t="shared" si="1"/>
        <v>0</v>
      </c>
      <c r="N19" s="91">
        <f t="shared" si="1"/>
        <v>0</v>
      </c>
      <c r="O19" s="92">
        <f t="shared" si="1"/>
        <v>0</v>
      </c>
    </row>
    <row r="20" spans="1:15" ht="12.75" customHeight="1" x14ac:dyDescent="0.25">
      <c r="A20" s="87"/>
      <c r="B20" s="93"/>
      <c r="C20" s="93"/>
      <c r="D20" s="236" t="s">
        <v>18</v>
      </c>
      <c r="E20" s="236" t="s">
        <v>19</v>
      </c>
      <c r="F20" s="236" t="s">
        <v>19</v>
      </c>
      <c r="G20" s="237" t="s">
        <v>20</v>
      </c>
      <c r="H20" s="93"/>
      <c r="N20" s="93"/>
      <c r="O20" s="103"/>
    </row>
    <row r="21" spans="1:15" ht="13.8" thickBot="1" x14ac:dyDescent="0.3">
      <c r="A21" s="97"/>
      <c r="B21" s="72"/>
      <c r="C21" s="72" t="s">
        <v>71</v>
      </c>
      <c r="D21" s="98">
        <f>SUM(E19:O19)-D19</f>
        <v>0</v>
      </c>
      <c r="E21" s="253" t="str">
        <f>IF(D21=0,"","ERROR - figures do not add across")</f>
        <v/>
      </c>
      <c r="F21" s="72"/>
      <c r="G21" s="72"/>
      <c r="H21" s="72"/>
      <c r="I21" s="72"/>
      <c r="J21" s="72"/>
      <c r="K21" s="72"/>
      <c r="L21" s="72"/>
      <c r="M21" s="72"/>
      <c r="N21" s="72"/>
      <c r="O21" s="99"/>
    </row>
    <row r="23" spans="1:15" ht="13.8" thickBot="1" x14ac:dyDescent="0.3"/>
    <row r="24" spans="1:15" ht="18" thickBot="1" x14ac:dyDescent="0.3">
      <c r="A24" s="100" t="s">
        <v>21</v>
      </c>
      <c r="B24" s="101"/>
      <c r="C24" s="61"/>
      <c r="D24" s="68"/>
      <c r="E24" s="68"/>
      <c r="F24" s="68"/>
      <c r="G24" s="68"/>
      <c r="H24" s="68"/>
      <c r="I24" s="68"/>
      <c r="J24" s="68"/>
      <c r="K24" s="68"/>
      <c r="L24" s="68"/>
      <c r="M24" s="68"/>
      <c r="N24" s="239" t="s">
        <v>10</v>
      </c>
      <c r="O24" s="70">
        <f>O3</f>
        <v>40689</v>
      </c>
    </row>
    <row r="25" spans="1:15" ht="13.8" thickBot="1" x14ac:dyDescent="0.3">
      <c r="A25" s="102"/>
      <c r="B25" s="93"/>
      <c r="C25" s="93"/>
      <c r="D25" s="93"/>
      <c r="E25" s="93"/>
      <c r="F25" s="93"/>
      <c r="G25" s="93"/>
      <c r="H25" s="93"/>
      <c r="I25" s="93"/>
      <c r="J25" s="93"/>
      <c r="K25" s="93"/>
      <c r="L25" s="93"/>
      <c r="M25" s="93"/>
      <c r="N25" s="93"/>
      <c r="O25" s="103"/>
    </row>
    <row r="26" spans="1:15" s="79" customFormat="1" ht="27" customHeight="1" thickBot="1" x14ac:dyDescent="0.3">
      <c r="A26" s="104" t="s">
        <v>12</v>
      </c>
      <c r="B26" s="75" t="s">
        <v>68</v>
      </c>
      <c r="C26" s="105" t="s">
        <v>123</v>
      </c>
      <c r="D26" s="106" t="s">
        <v>63</v>
      </c>
      <c r="E26" s="107" t="str">
        <f>'Month 1'!E26</f>
        <v>PAYE/NI</v>
      </c>
      <c r="F26" s="107" t="str">
        <f>'Month 1'!F26</f>
        <v>Net Wages</v>
      </c>
      <c r="G26" s="107" t="str">
        <f>'Month 1'!G26</f>
        <v>Dividends</v>
      </c>
      <c r="H26" s="107" t="str">
        <f>'Month 1'!H26</f>
        <v>Company Dep A/C</v>
      </c>
      <c r="I26" s="107" t="str">
        <f>'Month 1'!I26</f>
        <v>Company Pension</v>
      </c>
      <c r="J26" s="107" t="str">
        <f>'Month 1'!J26</f>
        <v>Motor &amp; Travel</v>
      </c>
      <c r="K26" s="107" t="str">
        <f>'Month 1'!K26</f>
        <v>Standing Orders</v>
      </c>
      <c r="L26" s="107" t="str">
        <f>'Month 1'!L26</f>
        <v>Petty Cash</v>
      </c>
      <c r="M26" s="107" t="s">
        <v>143</v>
      </c>
      <c r="N26" s="107" t="str">
        <f>'Month 1'!N26</f>
        <v>Sundries</v>
      </c>
      <c r="O26" s="78" t="s">
        <v>142</v>
      </c>
    </row>
    <row r="27" spans="1:15" x14ac:dyDescent="0.25">
      <c r="A27" s="80"/>
      <c r="B27" s="81"/>
      <c r="C27" s="60"/>
      <c r="D27" s="83">
        <f t="shared" ref="D27:D40" si="2">SUM(E27:O27)</f>
        <v>0</v>
      </c>
      <c r="E27" s="84"/>
      <c r="F27" s="84"/>
      <c r="G27" s="84"/>
      <c r="H27" s="84"/>
      <c r="I27" s="84"/>
      <c r="J27" s="84"/>
      <c r="K27" s="84"/>
      <c r="L27" s="84"/>
      <c r="M27" s="84"/>
      <c r="N27" s="84"/>
      <c r="O27" s="86"/>
    </row>
    <row r="28" spans="1:15" x14ac:dyDescent="0.25">
      <c r="A28" s="80"/>
      <c r="B28" s="81"/>
      <c r="C28" s="60"/>
      <c r="D28" s="83">
        <f t="shared" si="2"/>
        <v>0</v>
      </c>
      <c r="E28" s="84"/>
      <c r="F28" s="84"/>
      <c r="G28" s="84"/>
      <c r="H28" s="84"/>
      <c r="I28" s="84"/>
      <c r="J28" s="84"/>
      <c r="K28" s="84"/>
      <c r="L28" s="84"/>
      <c r="M28" s="84"/>
      <c r="N28" s="84"/>
      <c r="O28" s="86"/>
    </row>
    <row r="29" spans="1:15" x14ac:dyDescent="0.25">
      <c r="A29" s="80"/>
      <c r="B29" s="81"/>
      <c r="C29" s="60"/>
      <c r="D29" s="83">
        <f t="shared" si="2"/>
        <v>0</v>
      </c>
      <c r="E29" s="84"/>
      <c r="F29" s="84"/>
      <c r="G29" s="84"/>
      <c r="H29" s="84"/>
      <c r="I29" s="84"/>
      <c r="J29" s="84"/>
      <c r="K29" s="84"/>
      <c r="L29" s="84"/>
      <c r="M29" s="84"/>
      <c r="N29" s="84"/>
      <c r="O29" s="86"/>
    </row>
    <row r="30" spans="1:15" x14ac:dyDescent="0.25">
      <c r="A30" s="80"/>
      <c r="B30" s="81"/>
      <c r="C30" s="60"/>
      <c r="D30" s="83">
        <f t="shared" si="2"/>
        <v>0</v>
      </c>
      <c r="E30" s="84"/>
      <c r="F30" s="84"/>
      <c r="G30" s="84"/>
      <c r="H30" s="84"/>
      <c r="I30" s="84"/>
      <c r="J30" s="84"/>
      <c r="K30" s="84"/>
      <c r="L30" s="84"/>
      <c r="M30" s="84"/>
      <c r="N30" s="84"/>
      <c r="O30" s="86"/>
    </row>
    <row r="31" spans="1:15" x14ac:dyDescent="0.25">
      <c r="A31" s="80"/>
      <c r="B31" s="81"/>
      <c r="C31" s="60"/>
      <c r="D31" s="83">
        <f t="shared" si="2"/>
        <v>0</v>
      </c>
      <c r="E31" s="84"/>
      <c r="F31" s="84"/>
      <c r="G31" s="84"/>
      <c r="H31" s="84"/>
      <c r="I31" s="84"/>
      <c r="J31" s="84"/>
      <c r="K31" s="84"/>
      <c r="L31" s="84"/>
      <c r="M31" s="84"/>
      <c r="N31" s="84"/>
      <c r="O31" s="86"/>
    </row>
    <row r="32" spans="1:15" x14ac:dyDescent="0.25">
      <c r="A32" s="80"/>
      <c r="B32" s="81"/>
      <c r="C32" s="60"/>
      <c r="D32" s="83">
        <f t="shared" si="2"/>
        <v>0</v>
      </c>
      <c r="E32" s="84"/>
      <c r="F32" s="84"/>
      <c r="G32" s="84"/>
      <c r="H32" s="84"/>
      <c r="I32" s="84"/>
      <c r="J32" s="84"/>
      <c r="K32" s="84"/>
      <c r="L32" s="84"/>
      <c r="M32" s="84"/>
      <c r="N32" s="84"/>
      <c r="O32" s="86"/>
    </row>
    <row r="33" spans="1:15" x14ac:dyDescent="0.25">
      <c r="A33" s="80"/>
      <c r="B33" s="81"/>
      <c r="C33" s="60"/>
      <c r="D33" s="83">
        <f t="shared" si="2"/>
        <v>0</v>
      </c>
      <c r="E33" s="84"/>
      <c r="F33" s="84"/>
      <c r="G33" s="84"/>
      <c r="H33" s="84"/>
      <c r="I33" s="84"/>
      <c r="J33" s="84"/>
      <c r="K33" s="84"/>
      <c r="L33" s="84"/>
      <c r="M33" s="84"/>
      <c r="N33" s="84"/>
      <c r="O33" s="86"/>
    </row>
    <row r="34" spans="1:15" x14ac:dyDescent="0.25">
      <c r="A34" s="80"/>
      <c r="B34" s="81"/>
      <c r="C34" s="60"/>
      <c r="D34" s="83">
        <f t="shared" si="2"/>
        <v>0</v>
      </c>
      <c r="E34" s="84"/>
      <c r="F34" s="84"/>
      <c r="G34" s="84"/>
      <c r="H34" s="84"/>
      <c r="I34" s="84"/>
      <c r="J34" s="84"/>
      <c r="K34" s="84"/>
      <c r="L34" s="84"/>
      <c r="M34" s="84"/>
      <c r="N34" s="84"/>
      <c r="O34" s="86"/>
    </row>
    <row r="35" spans="1:15" x14ac:dyDescent="0.25">
      <c r="A35" s="80"/>
      <c r="B35" s="81"/>
      <c r="C35" s="60"/>
      <c r="D35" s="83">
        <f t="shared" si="2"/>
        <v>0</v>
      </c>
      <c r="E35" s="84"/>
      <c r="F35" s="84"/>
      <c r="G35" s="84"/>
      <c r="H35" s="84"/>
      <c r="I35" s="84"/>
      <c r="J35" s="84"/>
      <c r="K35" s="84"/>
      <c r="L35" s="84"/>
      <c r="M35" s="84"/>
      <c r="N35" s="84"/>
      <c r="O35" s="86"/>
    </row>
    <row r="36" spans="1:15" x14ac:dyDescent="0.25">
      <c r="A36" s="80"/>
      <c r="B36" s="81"/>
      <c r="C36" s="60"/>
      <c r="D36" s="83">
        <f t="shared" si="2"/>
        <v>0</v>
      </c>
      <c r="E36" s="84"/>
      <c r="F36" s="84"/>
      <c r="G36" s="84"/>
      <c r="H36" s="84"/>
      <c r="I36" s="84"/>
      <c r="J36" s="84"/>
      <c r="K36" s="84"/>
      <c r="L36" s="84"/>
      <c r="M36" s="84"/>
      <c r="N36" s="84"/>
      <c r="O36" s="86"/>
    </row>
    <row r="37" spans="1:15" x14ac:dyDescent="0.25">
      <c r="A37" s="80"/>
      <c r="B37" s="81"/>
      <c r="C37" s="60"/>
      <c r="D37" s="83">
        <f t="shared" si="2"/>
        <v>0</v>
      </c>
      <c r="E37" s="84"/>
      <c r="F37" s="84"/>
      <c r="G37" s="84"/>
      <c r="H37" s="84"/>
      <c r="I37" s="84"/>
      <c r="J37" s="84"/>
      <c r="K37" s="84"/>
      <c r="L37" s="84"/>
      <c r="M37" s="84"/>
      <c r="N37" s="84"/>
      <c r="O37" s="86"/>
    </row>
    <row r="38" spans="1:15" x14ac:dyDescent="0.25">
      <c r="A38" s="80"/>
      <c r="B38" s="81"/>
      <c r="C38" s="60"/>
      <c r="D38" s="83">
        <f t="shared" si="2"/>
        <v>0</v>
      </c>
      <c r="E38" s="84"/>
      <c r="F38" s="84"/>
      <c r="G38" s="84"/>
      <c r="H38" s="84"/>
      <c r="I38" s="84"/>
      <c r="J38" s="84"/>
      <c r="K38" s="84"/>
      <c r="L38" s="84"/>
      <c r="M38" s="84"/>
      <c r="N38" s="84"/>
      <c r="O38" s="86"/>
    </row>
    <row r="39" spans="1:15" x14ac:dyDescent="0.25">
      <c r="A39" s="80"/>
      <c r="B39" s="81"/>
      <c r="C39" s="60"/>
      <c r="D39" s="83">
        <f t="shared" si="2"/>
        <v>0</v>
      </c>
      <c r="E39" s="84"/>
      <c r="F39" s="84"/>
      <c r="G39" s="84"/>
      <c r="H39" s="84"/>
      <c r="I39" s="84"/>
      <c r="J39" s="84"/>
      <c r="K39" s="84"/>
      <c r="L39" s="84"/>
      <c r="M39" s="84"/>
      <c r="N39" s="84"/>
      <c r="O39" s="86"/>
    </row>
    <row r="40" spans="1:15" x14ac:dyDescent="0.25">
      <c r="A40" s="80"/>
      <c r="B40" s="81"/>
      <c r="C40" s="60"/>
      <c r="D40" s="83">
        <f t="shared" si="2"/>
        <v>0</v>
      </c>
      <c r="E40" s="84"/>
      <c r="F40" s="84"/>
      <c r="G40" s="84"/>
      <c r="H40" s="84"/>
      <c r="I40" s="84"/>
      <c r="J40" s="84"/>
      <c r="K40" s="84"/>
      <c r="L40" s="84"/>
      <c r="M40" s="84"/>
      <c r="N40" s="84"/>
      <c r="O40" s="86"/>
    </row>
    <row r="41" spans="1:15" ht="13.8" thickBot="1" x14ac:dyDescent="0.3">
      <c r="A41" s="80"/>
      <c r="B41" s="81"/>
      <c r="C41" s="60"/>
      <c r="D41" s="83"/>
      <c r="E41" s="84"/>
      <c r="F41" s="84"/>
      <c r="G41" s="84"/>
      <c r="H41" s="84"/>
      <c r="I41" s="84"/>
      <c r="J41" s="84"/>
      <c r="K41" s="84"/>
      <c r="L41" s="84"/>
      <c r="M41" s="84"/>
      <c r="N41" s="84"/>
      <c r="O41" s="86"/>
    </row>
    <row r="42" spans="1:15" ht="16.2" thickBot="1" x14ac:dyDescent="0.3">
      <c r="A42" s="87"/>
      <c r="B42" s="88"/>
      <c r="C42" s="89" t="s">
        <v>17</v>
      </c>
      <c r="D42" s="90">
        <f t="shared" ref="D42:O42" si="3">SUM(D27:D41)</f>
        <v>0</v>
      </c>
      <c r="E42" s="91">
        <f t="shared" si="3"/>
        <v>0</v>
      </c>
      <c r="F42" s="91">
        <f t="shared" si="3"/>
        <v>0</v>
      </c>
      <c r="G42" s="91">
        <f t="shared" si="3"/>
        <v>0</v>
      </c>
      <c r="H42" s="91">
        <f t="shared" si="3"/>
        <v>0</v>
      </c>
      <c r="I42" s="91">
        <f t="shared" si="3"/>
        <v>0</v>
      </c>
      <c r="J42" s="91">
        <f t="shared" si="3"/>
        <v>0</v>
      </c>
      <c r="K42" s="91">
        <f>SUM(K27:K41)</f>
        <v>0</v>
      </c>
      <c r="L42" s="91">
        <f>SUM(L27:L41)</f>
        <v>0</v>
      </c>
      <c r="M42" s="91">
        <f t="shared" si="3"/>
        <v>0</v>
      </c>
      <c r="N42" s="91">
        <f t="shared" si="3"/>
        <v>0</v>
      </c>
      <c r="O42" s="92">
        <f t="shared" si="3"/>
        <v>0</v>
      </c>
    </row>
    <row r="43" spans="1:15" ht="13.8" x14ac:dyDescent="0.25">
      <c r="A43" s="87"/>
      <c r="B43" s="93"/>
      <c r="C43" s="93"/>
      <c r="D43" s="94" t="s">
        <v>26</v>
      </c>
      <c r="E43" s="93"/>
      <c r="F43" s="93"/>
      <c r="G43" s="93"/>
      <c r="H43" s="93"/>
      <c r="I43" s="93"/>
      <c r="J43" s="93"/>
      <c r="K43" s="93"/>
      <c r="L43" s="93"/>
      <c r="M43" s="93"/>
      <c r="N43" s="93"/>
      <c r="O43" s="108" t="s">
        <v>27</v>
      </c>
    </row>
    <row r="44" spans="1:15" ht="13.8" thickBot="1" x14ac:dyDescent="0.3">
      <c r="A44" s="97"/>
      <c r="B44" s="72"/>
      <c r="C44" s="72" t="s">
        <v>71</v>
      </c>
      <c r="D44" s="98">
        <f>SUM(E42:O42)-D42</f>
        <v>0</v>
      </c>
      <c r="E44" s="253" t="str">
        <f>IF(D44=0,"","ERROR - figures do not add across")</f>
        <v/>
      </c>
      <c r="F44" s="72"/>
      <c r="G44" s="72"/>
      <c r="H44" s="72"/>
      <c r="I44" s="72"/>
      <c r="J44" s="72"/>
      <c r="K44" s="72"/>
      <c r="L44" s="72"/>
      <c r="M44" s="72"/>
      <c r="N44" s="72"/>
      <c r="O44" s="99"/>
    </row>
    <row r="46" spans="1:15" ht="13.8" thickBot="1" x14ac:dyDescent="0.3"/>
    <row r="47" spans="1:15" ht="18" thickBot="1" x14ac:dyDescent="0.3">
      <c r="A47" s="109" t="s">
        <v>28</v>
      </c>
      <c r="B47" s="61"/>
      <c r="C47" s="61"/>
      <c r="D47" s="110"/>
      <c r="E47" s="239" t="s">
        <v>10</v>
      </c>
      <c r="F47" s="70">
        <f>O3</f>
        <v>40689</v>
      </c>
      <c r="H47" s="109" t="s">
        <v>132</v>
      </c>
      <c r="I47" s="61"/>
      <c r="J47" s="61"/>
      <c r="K47" s="68"/>
      <c r="L47" s="68"/>
      <c r="M47" s="68"/>
      <c r="N47" s="239" t="s">
        <v>10</v>
      </c>
      <c r="O47" s="70">
        <f>F47</f>
        <v>40689</v>
      </c>
    </row>
    <row r="48" spans="1:15" x14ac:dyDescent="0.25">
      <c r="A48" s="102"/>
      <c r="B48" s="93"/>
      <c r="C48" s="93"/>
      <c r="D48" s="93"/>
      <c r="E48" s="93"/>
      <c r="F48" s="103"/>
      <c r="H48" s="102"/>
      <c r="I48" s="93"/>
      <c r="J48" s="93"/>
      <c r="K48" s="93"/>
      <c r="L48" s="93"/>
      <c r="M48" s="93"/>
      <c r="N48" s="93"/>
      <c r="O48" s="103"/>
    </row>
    <row r="49" spans="1:15" x14ac:dyDescent="0.25">
      <c r="A49" s="111" t="s">
        <v>29</v>
      </c>
      <c r="B49" s="93"/>
      <c r="C49" s="93"/>
      <c r="D49" s="93"/>
      <c r="E49" s="83">
        <f>'Month 1'!E53</f>
        <v>0</v>
      </c>
      <c r="F49" s="103"/>
      <c r="H49" s="112"/>
      <c r="I49" s="93"/>
      <c r="J49" s="93"/>
      <c r="K49" s="93"/>
      <c r="L49" s="93"/>
      <c r="M49" s="93"/>
      <c r="N49" s="93"/>
      <c r="O49" s="103"/>
    </row>
    <row r="50" spans="1:15" ht="14.4" thickBot="1" x14ac:dyDescent="0.3">
      <c r="A50" s="111" t="s">
        <v>30</v>
      </c>
      <c r="B50" s="93"/>
      <c r="C50" s="94"/>
      <c r="D50" s="94" t="s">
        <v>18</v>
      </c>
      <c r="E50" s="113">
        <f>+D19</f>
        <v>0</v>
      </c>
      <c r="F50" s="103"/>
      <c r="H50" s="112" t="s">
        <v>29</v>
      </c>
      <c r="I50" s="93"/>
      <c r="J50" s="93"/>
      <c r="K50" s="93"/>
      <c r="L50" s="93"/>
      <c r="N50" s="114">
        <f>'Month 1'!N56</f>
        <v>0</v>
      </c>
      <c r="O50" s="103"/>
    </row>
    <row r="51" spans="1:15" ht="13.8" x14ac:dyDescent="0.25">
      <c r="A51" s="111"/>
      <c r="B51" s="93"/>
      <c r="C51" s="94"/>
      <c r="D51" s="94"/>
      <c r="E51" s="83">
        <f>SUM(E49:E50)</f>
        <v>0</v>
      </c>
      <c r="F51" s="103"/>
      <c r="H51" s="112"/>
      <c r="I51" s="93"/>
      <c r="J51" s="93"/>
      <c r="K51" s="93"/>
      <c r="L51" s="93"/>
      <c r="N51" s="114"/>
      <c r="O51" s="103"/>
    </row>
    <row r="52" spans="1:15" ht="14.4" thickBot="1" x14ac:dyDescent="0.3">
      <c r="A52" s="111" t="s">
        <v>59</v>
      </c>
      <c r="B52" s="93"/>
      <c r="C52" s="94"/>
      <c r="D52" s="94" t="s">
        <v>26</v>
      </c>
      <c r="E52" s="83">
        <f>+D42</f>
        <v>0</v>
      </c>
      <c r="F52" s="103"/>
      <c r="H52" s="112" t="s">
        <v>133</v>
      </c>
      <c r="I52" s="93"/>
      <c r="J52" s="93"/>
      <c r="K52" s="93"/>
      <c r="L52" s="93"/>
      <c r="N52" s="114">
        <f>L42</f>
        <v>0</v>
      </c>
      <c r="O52" s="103"/>
    </row>
    <row r="53" spans="1:15" ht="14.4" thickBot="1" x14ac:dyDescent="0.3">
      <c r="A53" s="111" t="s">
        <v>31</v>
      </c>
      <c r="B53" s="94"/>
      <c r="C53" s="94"/>
      <c r="D53" s="108" t="s">
        <v>32</v>
      </c>
      <c r="E53" s="115">
        <f>SUM(E51-E52)</f>
        <v>0</v>
      </c>
      <c r="F53" s="103"/>
      <c r="H53" s="112"/>
      <c r="I53" s="93"/>
      <c r="J53" s="93"/>
      <c r="K53" s="93"/>
      <c r="L53" s="93"/>
      <c r="N53" s="114"/>
      <c r="O53" s="103"/>
    </row>
    <row r="54" spans="1:15" ht="13.8" thickBot="1" x14ac:dyDescent="0.3">
      <c r="A54" s="102"/>
      <c r="B54" s="93"/>
      <c r="C54" s="93"/>
      <c r="D54" s="93"/>
      <c r="E54" s="93"/>
      <c r="F54" s="103"/>
      <c r="H54" s="112" t="s">
        <v>134</v>
      </c>
      <c r="I54" s="93"/>
      <c r="J54" s="93"/>
      <c r="K54" s="93"/>
      <c r="L54" s="93"/>
      <c r="N54" s="114">
        <f>-D88</f>
        <v>0</v>
      </c>
      <c r="O54" s="103"/>
    </row>
    <row r="55" spans="1:15" ht="18" thickBot="1" x14ac:dyDescent="0.3">
      <c r="A55" s="116" t="s">
        <v>33</v>
      </c>
      <c r="B55" s="117"/>
      <c r="C55" s="61"/>
      <c r="D55" s="118"/>
      <c r="E55" s="93"/>
      <c r="F55" s="103"/>
      <c r="H55" s="112"/>
      <c r="I55" s="93"/>
      <c r="J55" s="93"/>
      <c r="K55" s="93"/>
      <c r="L55" s="93"/>
      <c r="N55" s="114"/>
      <c r="O55" s="103"/>
    </row>
    <row r="56" spans="1:15" ht="13.8" thickBot="1" x14ac:dyDescent="0.3">
      <c r="A56" s="102"/>
      <c r="B56" s="93"/>
      <c r="C56" s="93"/>
      <c r="D56" s="93"/>
      <c r="E56" s="93"/>
      <c r="F56" s="103"/>
      <c r="H56" s="112" t="s">
        <v>31</v>
      </c>
      <c r="I56" s="93"/>
      <c r="J56" s="93"/>
      <c r="K56" s="93"/>
      <c r="L56" s="93"/>
      <c r="N56" s="119">
        <f>SUM(N50:N55)</f>
        <v>0</v>
      </c>
      <c r="O56" s="103"/>
    </row>
    <row r="57" spans="1:15" ht="13.8" thickBot="1" x14ac:dyDescent="0.3">
      <c r="A57" s="111" t="s">
        <v>34</v>
      </c>
      <c r="B57" s="93"/>
      <c r="C57" s="120"/>
      <c r="D57" s="121"/>
      <c r="E57" s="122"/>
      <c r="F57" s="103"/>
      <c r="H57" s="102"/>
      <c r="I57" s="93"/>
      <c r="J57" s="93"/>
      <c r="K57" s="93"/>
      <c r="L57" s="93"/>
      <c r="M57" s="93"/>
      <c r="N57" s="93"/>
      <c r="O57" s="103"/>
    </row>
    <row r="58" spans="1:15" x14ac:dyDescent="0.25">
      <c r="A58" s="111"/>
      <c r="B58" s="93"/>
      <c r="C58" s="120"/>
      <c r="D58" s="121"/>
      <c r="E58" s="83"/>
      <c r="F58" s="103"/>
      <c r="H58" s="102"/>
      <c r="I58" s="93"/>
      <c r="J58" s="93"/>
      <c r="K58" s="93"/>
      <c r="L58" s="93"/>
      <c r="M58" s="93"/>
      <c r="N58" s="93"/>
      <c r="O58" s="103"/>
    </row>
    <row r="59" spans="1:15" x14ac:dyDescent="0.25">
      <c r="A59" s="111" t="s">
        <v>35</v>
      </c>
      <c r="B59" s="93"/>
      <c r="C59" s="120"/>
      <c r="D59" s="123"/>
      <c r="E59" s="83"/>
      <c r="F59" s="103"/>
      <c r="H59" s="102"/>
      <c r="I59" s="93"/>
      <c r="J59" s="93"/>
      <c r="K59" s="93"/>
      <c r="L59" s="93"/>
      <c r="M59" s="93"/>
      <c r="N59" s="93"/>
      <c r="O59" s="103"/>
    </row>
    <row r="60" spans="1:15" x14ac:dyDescent="0.25">
      <c r="A60" s="124"/>
      <c r="B60" s="52"/>
      <c r="C60" s="125"/>
      <c r="D60" s="126"/>
      <c r="E60" s="83"/>
      <c r="F60" s="103"/>
      <c r="H60" s="102"/>
      <c r="I60" s="93"/>
      <c r="J60" s="93"/>
      <c r="K60" s="93"/>
      <c r="L60" s="93"/>
      <c r="M60" s="93"/>
      <c r="N60" s="93"/>
      <c r="O60" s="103"/>
    </row>
    <row r="61" spans="1:15" ht="13.8" thickBot="1" x14ac:dyDescent="0.3">
      <c r="A61" s="124"/>
      <c r="B61" s="52"/>
      <c r="C61" s="125"/>
      <c r="D61" s="126"/>
      <c r="E61" s="127">
        <f>SUM(D59:D61)</f>
        <v>0</v>
      </c>
      <c r="F61" s="103"/>
      <c r="H61" s="102"/>
      <c r="I61" s="93"/>
      <c r="J61" s="93"/>
      <c r="K61" s="93"/>
      <c r="L61" s="93"/>
      <c r="M61" s="93"/>
      <c r="N61" s="93"/>
      <c r="O61" s="103"/>
    </row>
    <row r="62" spans="1:15" x14ac:dyDescent="0.25">
      <c r="A62" s="111"/>
      <c r="B62" s="93"/>
      <c r="C62" s="120"/>
      <c r="D62" s="123"/>
      <c r="E62" s="83">
        <f>SUM(E57:E61)</f>
        <v>0</v>
      </c>
      <c r="F62" s="103"/>
      <c r="H62" s="102"/>
      <c r="I62" s="93"/>
      <c r="J62" s="93"/>
      <c r="K62" s="93"/>
      <c r="L62" s="93"/>
      <c r="M62" s="93"/>
      <c r="N62" s="93"/>
      <c r="O62" s="103"/>
    </row>
    <row r="63" spans="1:15" x14ac:dyDescent="0.25">
      <c r="A63" s="111" t="s">
        <v>36</v>
      </c>
      <c r="B63" s="93"/>
      <c r="C63" s="128"/>
      <c r="D63" s="129"/>
      <c r="E63" s="83"/>
      <c r="F63" s="103"/>
      <c r="H63" s="102"/>
      <c r="I63" s="93"/>
      <c r="J63" s="93"/>
      <c r="K63" s="93"/>
      <c r="L63" s="93"/>
      <c r="M63" s="93"/>
      <c r="N63" s="93"/>
      <c r="O63" s="103"/>
    </row>
    <row r="64" spans="1:15" x14ac:dyDescent="0.25">
      <c r="A64" s="124"/>
      <c r="B64" s="52"/>
      <c r="C64" s="60"/>
      <c r="D64" s="130"/>
      <c r="E64" s="83"/>
      <c r="F64" s="103"/>
      <c r="H64" s="102"/>
      <c r="I64" s="93"/>
      <c r="J64" s="93"/>
      <c r="K64" s="93"/>
      <c r="L64" s="93"/>
      <c r="M64" s="93"/>
      <c r="N64" s="93"/>
      <c r="O64" s="103"/>
    </row>
    <row r="65" spans="1:15" x14ac:dyDescent="0.25">
      <c r="A65" s="124"/>
      <c r="B65" s="52"/>
      <c r="C65" s="60"/>
      <c r="D65" s="130"/>
      <c r="E65" s="83"/>
      <c r="F65" s="103"/>
      <c r="H65" s="102"/>
      <c r="I65" s="93"/>
      <c r="J65" s="93"/>
      <c r="K65" s="93"/>
      <c r="L65" s="93"/>
      <c r="M65" s="93"/>
      <c r="N65" s="93"/>
      <c r="O65" s="103"/>
    </row>
    <row r="66" spans="1:15" ht="13.8" thickBot="1" x14ac:dyDescent="0.3">
      <c r="A66" s="124"/>
      <c r="B66" s="52"/>
      <c r="C66" s="125"/>
      <c r="D66" s="126"/>
      <c r="E66" s="83">
        <f>SUM(D63:D66)</f>
        <v>0</v>
      </c>
      <c r="F66" s="103"/>
      <c r="H66" s="102"/>
      <c r="I66" s="93"/>
      <c r="J66" s="93"/>
      <c r="K66" s="93"/>
      <c r="L66" s="93"/>
      <c r="M66" s="93"/>
      <c r="N66" s="93"/>
      <c r="O66" s="103"/>
    </row>
    <row r="67" spans="1:15" ht="16.2" thickBot="1" x14ac:dyDescent="0.3">
      <c r="A67" s="131" t="s">
        <v>37</v>
      </c>
      <c r="B67" s="132"/>
      <c r="C67" s="132"/>
      <c r="D67" s="132" t="s">
        <v>32</v>
      </c>
      <c r="E67" s="115">
        <f>SUM(E62-E66)</f>
        <v>0</v>
      </c>
      <c r="F67" s="99"/>
      <c r="H67" s="133"/>
      <c r="I67" s="72"/>
      <c r="J67" s="72"/>
      <c r="K67" s="72"/>
      <c r="L67" s="72"/>
      <c r="M67" s="72"/>
      <c r="N67" s="72"/>
      <c r="O67" s="99"/>
    </row>
    <row r="69" spans="1:15" ht="13.8" thickBot="1" x14ac:dyDescent="0.3"/>
    <row r="70" spans="1:15" ht="18" thickBot="1" x14ac:dyDescent="0.3">
      <c r="A70" s="100" t="s">
        <v>38</v>
      </c>
      <c r="B70" s="101"/>
      <c r="C70" s="61"/>
      <c r="D70" s="68"/>
      <c r="E70" s="68"/>
      <c r="F70" s="68"/>
      <c r="G70" s="68"/>
      <c r="H70" s="68"/>
      <c r="I70" s="68"/>
      <c r="J70" s="68"/>
      <c r="K70" s="68"/>
      <c r="L70" s="68"/>
      <c r="M70" s="68"/>
      <c r="N70" s="239" t="s">
        <v>10</v>
      </c>
      <c r="O70" s="70">
        <f>O3</f>
        <v>40689</v>
      </c>
    </row>
    <row r="71" spans="1:15" ht="13.8" thickBot="1" x14ac:dyDescent="0.3">
      <c r="A71" s="102"/>
      <c r="B71" s="93"/>
      <c r="C71" s="93"/>
      <c r="D71" s="93"/>
      <c r="E71" s="93"/>
      <c r="F71" s="93"/>
      <c r="G71" s="93"/>
      <c r="H71" s="93"/>
      <c r="I71" s="93"/>
      <c r="J71" s="93"/>
      <c r="K71" s="93"/>
      <c r="L71" s="93"/>
      <c r="M71" s="93"/>
      <c r="N71" s="93"/>
      <c r="O71" s="103"/>
    </row>
    <row r="72" spans="1:15" s="79" customFormat="1" ht="27" customHeight="1" thickBot="1" x14ac:dyDescent="0.3">
      <c r="A72" s="74" t="s">
        <v>12</v>
      </c>
      <c r="B72" s="75" t="s">
        <v>129</v>
      </c>
      <c r="C72" s="105" t="s">
        <v>123</v>
      </c>
      <c r="D72" s="106" t="s">
        <v>64</v>
      </c>
      <c r="E72" s="107" t="str">
        <f>'Month 1'!E72</f>
        <v>Motor &amp; Travel</v>
      </c>
      <c r="F72" s="107" t="str">
        <f>'Month 1'!F72</f>
        <v>Print, Post Stationery</v>
      </c>
      <c r="G72" s="107" t="str">
        <f>'Month 1'!G72</f>
        <v>Subsist Accom</v>
      </c>
      <c r="H72" s="107" t="str">
        <f>'Month 1'!H72</f>
        <v>Software &amp; Materials</v>
      </c>
      <c r="I72" s="77" t="str">
        <f>'Month 1'!I72</f>
        <v>Books &amp; Magazines</v>
      </c>
      <c r="J72" s="107" t="str">
        <f>'Month 1'!J72</f>
        <v>Mobile &amp; Telephone</v>
      </c>
      <c r="K72" s="107" t="str">
        <f>'Month 1'!K72</f>
        <v xml:space="preserve"> </v>
      </c>
      <c r="L72" s="107" t="str">
        <f>'Month 1'!L72</f>
        <v xml:space="preserve"> </v>
      </c>
      <c r="M72" s="107" t="str">
        <f>'Month 1'!M72</f>
        <v xml:space="preserve"> </v>
      </c>
      <c r="N72" s="107" t="str">
        <f>'Month 1'!N72</f>
        <v>Sundries</v>
      </c>
      <c r="O72" s="134" t="s">
        <v>142</v>
      </c>
    </row>
    <row r="73" spans="1:15" x14ac:dyDescent="0.25">
      <c r="A73" s="80"/>
      <c r="B73" s="81"/>
      <c r="C73" s="60"/>
      <c r="D73" s="83">
        <f t="shared" ref="D73:D86" si="4">SUM(E73:O73)</f>
        <v>0</v>
      </c>
      <c r="E73" s="84"/>
      <c r="F73" s="84"/>
      <c r="G73" s="84"/>
      <c r="H73" s="84"/>
      <c r="I73" s="84"/>
      <c r="J73" s="84"/>
      <c r="K73" s="84"/>
      <c r="L73" s="84"/>
      <c r="M73" s="84"/>
      <c r="N73" s="84"/>
      <c r="O73" s="86"/>
    </row>
    <row r="74" spans="1:15" x14ac:dyDescent="0.25">
      <c r="A74" s="80"/>
      <c r="B74" s="81"/>
      <c r="C74" s="60"/>
      <c r="D74" s="83">
        <f t="shared" si="4"/>
        <v>0</v>
      </c>
      <c r="E74" s="84"/>
      <c r="F74" s="84"/>
      <c r="G74" s="84"/>
      <c r="H74" s="84"/>
      <c r="I74" s="84"/>
      <c r="J74" s="84"/>
      <c r="K74" s="84"/>
      <c r="L74" s="84"/>
      <c r="M74" s="84"/>
      <c r="N74" s="84"/>
      <c r="O74" s="86"/>
    </row>
    <row r="75" spans="1:15" x14ac:dyDescent="0.25">
      <c r="A75" s="80"/>
      <c r="B75" s="81"/>
      <c r="C75" s="60"/>
      <c r="D75" s="83">
        <f t="shared" si="4"/>
        <v>0</v>
      </c>
      <c r="E75" s="84"/>
      <c r="F75" s="84"/>
      <c r="G75" s="84"/>
      <c r="H75" s="84"/>
      <c r="I75" s="84"/>
      <c r="J75" s="84"/>
      <c r="K75" s="84"/>
      <c r="L75" s="84"/>
      <c r="M75" s="84"/>
      <c r="N75" s="84"/>
      <c r="O75" s="86"/>
    </row>
    <row r="76" spans="1:15" x14ac:dyDescent="0.25">
      <c r="A76" s="80"/>
      <c r="B76" s="81"/>
      <c r="C76" s="60"/>
      <c r="D76" s="83">
        <f t="shared" si="4"/>
        <v>0</v>
      </c>
      <c r="E76" s="84"/>
      <c r="F76" s="84"/>
      <c r="G76" s="84"/>
      <c r="H76" s="84"/>
      <c r="I76" s="84"/>
      <c r="J76" s="84"/>
      <c r="K76" s="84"/>
      <c r="L76" s="84"/>
      <c r="M76" s="84"/>
      <c r="N76" s="84"/>
      <c r="O76" s="86"/>
    </row>
    <row r="77" spans="1:15" x14ac:dyDescent="0.25">
      <c r="A77" s="80"/>
      <c r="B77" s="81"/>
      <c r="C77" s="60"/>
      <c r="D77" s="83">
        <f t="shared" si="4"/>
        <v>0</v>
      </c>
      <c r="E77" s="84"/>
      <c r="F77" s="84"/>
      <c r="G77" s="84"/>
      <c r="H77" s="84"/>
      <c r="I77" s="84"/>
      <c r="J77" s="84"/>
      <c r="K77" s="84"/>
      <c r="L77" s="84"/>
      <c r="M77" s="84"/>
      <c r="N77" s="84"/>
      <c r="O77" s="86"/>
    </row>
    <row r="78" spans="1:15" x14ac:dyDescent="0.25">
      <c r="A78" s="80"/>
      <c r="B78" s="81"/>
      <c r="C78" s="60"/>
      <c r="D78" s="83">
        <f t="shared" si="4"/>
        <v>0</v>
      </c>
      <c r="E78" s="84"/>
      <c r="F78" s="84"/>
      <c r="G78" s="84"/>
      <c r="H78" s="84"/>
      <c r="I78" s="84"/>
      <c r="J78" s="84"/>
      <c r="K78" s="84"/>
      <c r="L78" s="84"/>
      <c r="M78" s="84"/>
      <c r="N78" s="84"/>
      <c r="O78" s="86"/>
    </row>
    <row r="79" spans="1:15" x14ac:dyDescent="0.25">
      <c r="A79" s="80"/>
      <c r="B79" s="81"/>
      <c r="C79" s="60"/>
      <c r="D79" s="83">
        <f t="shared" si="4"/>
        <v>0</v>
      </c>
      <c r="E79" s="84"/>
      <c r="F79" s="84"/>
      <c r="G79" s="84"/>
      <c r="H79" s="84"/>
      <c r="I79" s="84"/>
      <c r="J79" s="84"/>
      <c r="K79" s="84"/>
      <c r="L79" s="84"/>
      <c r="M79" s="84"/>
      <c r="N79" s="84"/>
      <c r="O79" s="86"/>
    </row>
    <row r="80" spans="1:15" x14ac:dyDescent="0.25">
      <c r="A80" s="80"/>
      <c r="B80" s="81"/>
      <c r="C80" s="60"/>
      <c r="D80" s="83">
        <f t="shared" si="4"/>
        <v>0</v>
      </c>
      <c r="E80" s="84"/>
      <c r="F80" s="84"/>
      <c r="G80" s="84"/>
      <c r="H80" s="84"/>
      <c r="I80" s="84"/>
      <c r="J80" s="84"/>
      <c r="K80" s="84"/>
      <c r="L80" s="84"/>
      <c r="M80" s="84"/>
      <c r="N80" s="84"/>
      <c r="O80" s="86"/>
    </row>
    <row r="81" spans="1:15" x14ac:dyDescent="0.25">
      <c r="A81" s="80"/>
      <c r="B81" s="81"/>
      <c r="C81" s="60"/>
      <c r="D81" s="83">
        <f t="shared" si="4"/>
        <v>0</v>
      </c>
      <c r="E81" s="84"/>
      <c r="F81" s="84"/>
      <c r="G81" s="84"/>
      <c r="H81" s="84"/>
      <c r="I81" s="84"/>
      <c r="J81" s="84"/>
      <c r="K81" s="84"/>
      <c r="L81" s="84"/>
      <c r="M81" s="84"/>
      <c r="N81" s="84"/>
      <c r="O81" s="86"/>
    </row>
    <row r="82" spans="1:15" x14ac:dyDescent="0.25">
      <c r="A82" s="80"/>
      <c r="B82" s="81"/>
      <c r="C82" s="60"/>
      <c r="D82" s="83">
        <f t="shared" si="4"/>
        <v>0</v>
      </c>
      <c r="E82" s="84"/>
      <c r="F82" s="84"/>
      <c r="G82" s="84"/>
      <c r="H82" s="84"/>
      <c r="I82" s="84"/>
      <c r="J82" s="84"/>
      <c r="K82" s="84"/>
      <c r="L82" s="84"/>
      <c r="M82" s="84"/>
      <c r="N82" s="84"/>
      <c r="O82" s="86"/>
    </row>
    <row r="83" spans="1:15" x14ac:dyDescent="0.25">
      <c r="A83" s="80"/>
      <c r="B83" s="81"/>
      <c r="C83" s="60"/>
      <c r="D83" s="83">
        <f t="shared" si="4"/>
        <v>0</v>
      </c>
      <c r="E83" s="84"/>
      <c r="F83" s="84"/>
      <c r="G83" s="84"/>
      <c r="H83" s="84"/>
      <c r="I83" s="84"/>
      <c r="J83" s="84"/>
      <c r="K83" s="84"/>
      <c r="L83" s="84"/>
      <c r="M83" s="84"/>
      <c r="N83" s="84"/>
      <c r="O83" s="86"/>
    </row>
    <row r="84" spans="1:15" x14ac:dyDescent="0.25">
      <c r="A84" s="80"/>
      <c r="B84" s="81"/>
      <c r="C84" s="60"/>
      <c r="D84" s="83">
        <f t="shared" si="4"/>
        <v>0</v>
      </c>
      <c r="E84" s="84"/>
      <c r="F84" s="84"/>
      <c r="G84" s="84"/>
      <c r="H84" s="84"/>
      <c r="I84" s="84"/>
      <c r="J84" s="84"/>
      <c r="K84" s="84"/>
      <c r="L84" s="84"/>
      <c r="M84" s="84"/>
      <c r="N84" s="84"/>
      <c r="O84" s="86"/>
    </row>
    <row r="85" spans="1:15" x14ac:dyDescent="0.25">
      <c r="A85" s="80"/>
      <c r="B85" s="81"/>
      <c r="C85" s="60"/>
      <c r="D85" s="83">
        <f t="shared" si="4"/>
        <v>0</v>
      </c>
      <c r="E85" s="84"/>
      <c r="F85" s="84"/>
      <c r="G85" s="84"/>
      <c r="H85" s="84"/>
      <c r="I85" s="84"/>
      <c r="J85" s="84"/>
      <c r="K85" s="84"/>
      <c r="L85" s="84"/>
      <c r="M85" s="84"/>
      <c r="N85" s="84"/>
      <c r="O85" s="86"/>
    </row>
    <row r="86" spans="1:15" x14ac:dyDescent="0.25">
      <c r="A86" s="135"/>
      <c r="B86" s="81"/>
      <c r="C86" s="60"/>
      <c r="D86" s="83">
        <f t="shared" si="4"/>
        <v>0</v>
      </c>
      <c r="E86" s="84"/>
      <c r="F86" s="84"/>
      <c r="G86" s="84"/>
      <c r="H86" s="84"/>
      <c r="I86" s="84"/>
      <c r="J86" s="84"/>
      <c r="K86" s="84"/>
      <c r="L86" s="84"/>
      <c r="M86" s="84"/>
      <c r="N86" s="84"/>
      <c r="O86" s="86"/>
    </row>
    <row r="87" spans="1:15" ht="13.8" thickBot="1" x14ac:dyDescent="0.3">
      <c r="A87" s="80"/>
      <c r="B87" s="81"/>
      <c r="C87" s="60"/>
      <c r="D87" s="83"/>
      <c r="E87" s="84" t="s">
        <v>11</v>
      </c>
      <c r="F87" s="84"/>
      <c r="G87" s="84"/>
      <c r="H87" s="84"/>
      <c r="I87" s="84"/>
      <c r="J87" s="84"/>
      <c r="K87" s="84"/>
      <c r="L87" s="84"/>
      <c r="M87" s="84"/>
      <c r="N87" s="84"/>
      <c r="O87" s="86"/>
    </row>
    <row r="88" spans="1:15" ht="16.2" thickBot="1" x14ac:dyDescent="0.3">
      <c r="A88" s="87"/>
      <c r="B88" s="88"/>
      <c r="C88" s="89" t="s">
        <v>17</v>
      </c>
      <c r="D88" s="90">
        <f t="shared" ref="D88:J88" si="5">SUM(D73:D87)</f>
        <v>0</v>
      </c>
      <c r="E88" s="91">
        <f t="shared" si="5"/>
        <v>0</v>
      </c>
      <c r="F88" s="91">
        <f t="shared" si="5"/>
        <v>0</v>
      </c>
      <c r="G88" s="91">
        <f t="shared" si="5"/>
        <v>0</v>
      </c>
      <c r="H88" s="91">
        <f t="shared" si="5"/>
        <v>0</v>
      </c>
      <c r="I88" s="91">
        <f t="shared" si="5"/>
        <v>0</v>
      </c>
      <c r="J88" s="91">
        <f t="shared" si="5"/>
        <v>0</v>
      </c>
      <c r="K88" s="91">
        <f>SUM(K73:K87)</f>
        <v>0</v>
      </c>
      <c r="L88" s="91">
        <f>SUM(L73:L87)</f>
        <v>0</v>
      </c>
      <c r="M88" s="91">
        <f>SUM(M73:M87)</f>
        <v>0</v>
      </c>
      <c r="N88" s="91">
        <f>SUM(N73:N87)</f>
        <v>0</v>
      </c>
      <c r="O88" s="92">
        <f>SUM(O73:O87)</f>
        <v>0</v>
      </c>
    </row>
    <row r="89" spans="1:15" ht="15.6" x14ac:dyDescent="0.25">
      <c r="A89" s="87"/>
      <c r="B89" s="93"/>
      <c r="C89" s="93"/>
      <c r="D89" s="93"/>
      <c r="E89" s="93"/>
      <c r="F89" s="93"/>
      <c r="G89" s="93"/>
      <c r="H89" s="93"/>
      <c r="I89" s="93"/>
      <c r="J89" s="93"/>
      <c r="K89" s="93"/>
      <c r="L89" s="93"/>
      <c r="M89" s="93"/>
      <c r="N89" s="93"/>
      <c r="O89" s="136" t="s">
        <v>41</v>
      </c>
    </row>
    <row r="90" spans="1:15" ht="16.2" thickBot="1" x14ac:dyDescent="0.3">
      <c r="A90" s="97"/>
      <c r="B90" s="72"/>
      <c r="C90" s="72" t="s">
        <v>71</v>
      </c>
      <c r="D90" s="98">
        <f>SUM(E88:O88)-D88</f>
        <v>0</v>
      </c>
      <c r="E90" s="253" t="str">
        <f>IF(D90=0,"","ERROR - figures do not add across")</f>
        <v/>
      </c>
      <c r="F90" s="72"/>
      <c r="G90" s="72"/>
      <c r="H90" s="72"/>
      <c r="I90" s="72"/>
      <c r="J90" s="72"/>
      <c r="K90" s="72"/>
      <c r="L90" s="72"/>
      <c r="M90" s="72"/>
      <c r="N90" s="72"/>
      <c r="O90" s="137"/>
    </row>
  </sheetData>
  <customSheetViews>
    <customSheetView guid="{93A5533C-1BF0-4CFD-B527-DBAD1AD08F71}" fitToPage="1" showRuler="0">
      <selection activeCell="B13" sqref="B13"/>
      <pageMargins left="0.59055118110236227" right="0.15748031496062992" top="0.59055118110236227" bottom="0.59055118110236227" header="0.31496062992125984" footer="0.31496062992125984"/>
      <printOptions horizontalCentered="1"/>
      <pageSetup paperSize="9" scale="58" orientation="portrait" r:id="rId1"/>
      <headerFooter alignWithMargins="0">
        <oddHeader>&amp;C&amp;A</oddHeader>
        <oddFooter>&amp;L&amp;F&amp;CPage &amp;P&amp;R&amp;D</oddFooter>
      </headerFooter>
    </customSheetView>
  </customSheetViews>
  <phoneticPr fontId="0" type="noConversion"/>
  <printOptions horizontalCentered="1"/>
  <pageMargins left="0.59055118110236227" right="0.39370078740157483" top="0.59055118110236227" bottom="0.59055118110236227" header="0.31496062992125984" footer="0.31496062992125984"/>
  <pageSetup paperSize="9" scale="59" orientation="portrait" r:id="rId2"/>
  <headerFooter alignWithMargins="0">
    <oddHeader>&amp;C&amp;A</oddHeader>
    <oddFooter>&amp;L&amp;Z&amp;F\&amp;A&amp;CPage &amp;P&amp;R&amp;D  &amp;T</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O90"/>
  <sheetViews>
    <sheetView zoomScale="85" workbookViewId="0">
      <selection activeCell="A7" sqref="A7"/>
    </sheetView>
  </sheetViews>
  <sheetFormatPr defaultColWidth="9.109375" defaultRowHeight="13.2" x14ac:dyDescent="0.25"/>
  <cols>
    <col min="1" max="1" width="10" style="66" customWidth="1"/>
    <col min="2" max="2" width="4.5546875" style="66" customWidth="1"/>
    <col min="3" max="3" width="25.6640625" style="66" customWidth="1"/>
    <col min="4" max="4" width="10.109375" style="66" customWidth="1"/>
    <col min="5" max="5" width="10" style="66" bestFit="1" customWidth="1"/>
    <col min="6" max="6" width="12.5546875" style="66" bestFit="1" customWidth="1"/>
    <col min="7" max="7" width="9.88671875" style="66" bestFit="1" customWidth="1"/>
    <col min="8" max="8" width="11.44140625" style="66" bestFit="1" customWidth="1"/>
    <col min="9" max="9" width="10.88671875" style="66" bestFit="1" customWidth="1"/>
    <col min="10" max="10" width="10.6640625" style="66" bestFit="1" customWidth="1"/>
    <col min="11" max="11" width="9.109375" style="66"/>
    <col min="12" max="12" width="7.109375" style="66" customWidth="1"/>
    <col min="13" max="13" width="8.88671875" style="66" customWidth="1"/>
    <col min="14" max="14" width="9.88671875" style="66" bestFit="1" customWidth="1"/>
    <col min="15" max="15" width="9.5546875" style="66" bestFit="1" customWidth="1"/>
    <col min="16" max="16384" width="9.109375" style="66"/>
  </cols>
  <sheetData>
    <row r="1" spans="1:15" ht="16.2" thickBot="1" x14ac:dyDescent="0.3">
      <c r="A1" s="63" t="str">
        <f>'Company Info'!B5</f>
        <v>ABC Limited</v>
      </c>
      <c r="B1" s="64"/>
      <c r="C1" s="64"/>
      <c r="D1" s="65"/>
    </row>
    <row r="2" spans="1:15" ht="13.8" thickBot="1" x14ac:dyDescent="0.3"/>
    <row r="3" spans="1:15" ht="18" thickBot="1" x14ac:dyDescent="0.3">
      <c r="A3" s="67" t="s">
        <v>9</v>
      </c>
      <c r="B3" s="61"/>
      <c r="C3" s="61"/>
      <c r="D3" s="68"/>
      <c r="E3" s="68"/>
      <c r="F3" s="68"/>
      <c r="G3" s="68"/>
      <c r="H3" s="68"/>
      <c r="I3" s="68"/>
      <c r="J3" s="68"/>
      <c r="K3" s="68"/>
      <c r="L3" s="68"/>
      <c r="M3" s="68"/>
      <c r="N3" s="239" t="s">
        <v>10</v>
      </c>
      <c r="O3" s="70">
        <f>'Month 4'!O3-31</f>
        <v>40720</v>
      </c>
    </row>
    <row r="4" spans="1:15" ht="13.8" thickBot="1" x14ac:dyDescent="0.3">
      <c r="A4" s="71"/>
      <c r="B4" s="68"/>
      <c r="C4" s="68"/>
      <c r="D4" s="72"/>
      <c r="E4" s="72"/>
      <c r="F4" s="72"/>
      <c r="G4" s="72"/>
      <c r="H4" s="72"/>
      <c r="N4" s="68"/>
      <c r="O4" s="73"/>
    </row>
    <row r="5" spans="1:15" s="79" customFormat="1" ht="26.25" customHeight="1" thickBot="1" x14ac:dyDescent="0.3">
      <c r="A5" s="74" t="s">
        <v>12</v>
      </c>
      <c r="B5" s="75" t="s">
        <v>130</v>
      </c>
      <c r="C5" s="76" t="s">
        <v>123</v>
      </c>
      <c r="D5" s="75" t="s">
        <v>13</v>
      </c>
      <c r="E5" s="77" t="str">
        <f>'Month 2'!E5</f>
        <v>Net Sales</v>
      </c>
      <c r="F5" s="77" t="str">
        <f>'Month 2'!F5</f>
        <v>Expenses Reimbursed</v>
      </c>
      <c r="G5" s="77" t="str">
        <f>'Month 2'!G5</f>
        <v>VAT</v>
      </c>
      <c r="H5" s="77" t="str">
        <f>'Month 2'!H5</f>
        <v>Interest Received</v>
      </c>
      <c r="I5" s="77" t="str">
        <f>'Month 2'!I5</f>
        <v>Tax Refunds</v>
      </c>
      <c r="J5" s="77" t="str">
        <f>'Month 2'!J5</f>
        <v>Company Dep A/C</v>
      </c>
      <c r="K5" s="77">
        <f>'Month 2'!K5</f>
        <v>0</v>
      </c>
      <c r="L5" s="77">
        <f>'Month 2'!L5</f>
        <v>0</v>
      </c>
      <c r="M5" s="77">
        <f>'Month 2'!M5</f>
        <v>0</v>
      </c>
      <c r="N5" s="77">
        <f>'Month 2'!N5</f>
        <v>0</v>
      </c>
      <c r="O5" s="78" t="str">
        <f>'Month 2'!O5</f>
        <v>Sundries</v>
      </c>
    </row>
    <row r="6" spans="1:15" x14ac:dyDescent="0.25">
      <c r="A6" s="80"/>
      <c r="B6" s="81"/>
      <c r="C6" s="60"/>
      <c r="D6" s="83">
        <f t="shared" ref="D6:D17" si="0">SUM(E6:O6)</f>
        <v>0</v>
      </c>
      <c r="E6" s="84"/>
      <c r="F6" s="84"/>
      <c r="G6" s="84"/>
      <c r="H6" s="84"/>
      <c r="I6" s="84"/>
      <c r="J6" s="84"/>
      <c r="K6" s="84"/>
      <c r="L6" s="84"/>
      <c r="M6" s="84"/>
      <c r="N6" s="84"/>
      <c r="O6" s="86"/>
    </row>
    <row r="7" spans="1:15" x14ac:dyDescent="0.25">
      <c r="A7" s="80"/>
      <c r="B7" s="81"/>
      <c r="C7" s="60"/>
      <c r="D7" s="83">
        <f t="shared" si="0"/>
        <v>0</v>
      </c>
      <c r="E7" s="84"/>
      <c r="F7" s="84"/>
      <c r="G7" s="84"/>
      <c r="H7" s="84"/>
      <c r="I7" s="84"/>
      <c r="J7" s="84"/>
      <c r="K7" s="84"/>
      <c r="L7" s="84"/>
      <c r="M7" s="84"/>
      <c r="N7" s="84"/>
      <c r="O7" s="86"/>
    </row>
    <row r="8" spans="1:15" x14ac:dyDescent="0.25">
      <c r="A8" s="80"/>
      <c r="B8" s="81"/>
      <c r="C8" s="60"/>
      <c r="D8" s="83">
        <f t="shared" si="0"/>
        <v>0</v>
      </c>
      <c r="E8" s="84"/>
      <c r="F8" s="84"/>
      <c r="G8" s="84"/>
      <c r="H8" s="84"/>
      <c r="I8" s="84"/>
      <c r="J8" s="84"/>
      <c r="K8" s="84"/>
      <c r="L8" s="84"/>
      <c r="M8" s="84"/>
      <c r="N8" s="84"/>
      <c r="O8" s="86"/>
    </row>
    <row r="9" spans="1:15" x14ac:dyDescent="0.25">
      <c r="A9" s="80"/>
      <c r="B9" s="81"/>
      <c r="C9" s="60"/>
      <c r="D9" s="83">
        <f t="shared" si="0"/>
        <v>0</v>
      </c>
      <c r="E9" s="84"/>
      <c r="F9" s="84"/>
      <c r="G9" s="84"/>
      <c r="H9" s="84"/>
      <c r="I9" s="84"/>
      <c r="J9" s="84"/>
      <c r="K9" s="84"/>
      <c r="L9" s="84"/>
      <c r="M9" s="84"/>
      <c r="N9" s="84"/>
      <c r="O9" s="86"/>
    </row>
    <row r="10" spans="1:15" x14ac:dyDescent="0.25">
      <c r="A10" s="80"/>
      <c r="B10" s="81"/>
      <c r="C10" s="60"/>
      <c r="D10" s="83">
        <f t="shared" si="0"/>
        <v>0</v>
      </c>
      <c r="E10" s="84"/>
      <c r="F10" s="84"/>
      <c r="G10" s="84"/>
      <c r="H10" s="84"/>
      <c r="I10" s="84"/>
      <c r="J10" s="84"/>
      <c r="K10" s="84"/>
      <c r="L10" s="84"/>
      <c r="M10" s="84"/>
      <c r="N10" s="84"/>
      <c r="O10" s="86"/>
    </row>
    <row r="11" spans="1:15" x14ac:dyDescent="0.25">
      <c r="A11" s="80"/>
      <c r="B11" s="81"/>
      <c r="C11" s="60"/>
      <c r="D11" s="83">
        <f t="shared" si="0"/>
        <v>0</v>
      </c>
      <c r="E11" s="84"/>
      <c r="F11" s="84"/>
      <c r="G11" s="84"/>
      <c r="H11" s="84"/>
      <c r="I11" s="84"/>
      <c r="J11" s="84"/>
      <c r="K11" s="84"/>
      <c r="L11" s="84"/>
      <c r="M11" s="84"/>
      <c r="N11" s="84"/>
      <c r="O11" s="86"/>
    </row>
    <row r="12" spans="1:15" x14ac:dyDescent="0.25">
      <c r="A12" s="80"/>
      <c r="B12" s="81"/>
      <c r="C12" s="60"/>
      <c r="D12" s="83">
        <f t="shared" si="0"/>
        <v>0</v>
      </c>
      <c r="E12" s="84"/>
      <c r="F12" s="84"/>
      <c r="G12" s="84"/>
      <c r="H12" s="84"/>
      <c r="I12" s="84"/>
      <c r="J12" s="84"/>
      <c r="K12" s="84"/>
      <c r="L12" s="84"/>
      <c r="M12" s="84"/>
      <c r="N12" s="84"/>
      <c r="O12" s="86"/>
    </row>
    <row r="13" spans="1:15" x14ac:dyDescent="0.25">
      <c r="A13" s="80"/>
      <c r="B13" s="81"/>
      <c r="C13" s="60"/>
      <c r="D13" s="83">
        <f t="shared" si="0"/>
        <v>0</v>
      </c>
      <c r="E13" s="84"/>
      <c r="F13" s="84"/>
      <c r="G13" s="84"/>
      <c r="H13" s="84"/>
      <c r="I13" s="84"/>
      <c r="J13" s="84"/>
      <c r="K13" s="84"/>
      <c r="L13" s="84"/>
      <c r="M13" s="84"/>
      <c r="N13" s="84"/>
      <c r="O13" s="86"/>
    </row>
    <row r="14" spans="1:15" x14ac:dyDescent="0.25">
      <c r="A14" s="80"/>
      <c r="B14" s="81"/>
      <c r="C14" s="60"/>
      <c r="D14" s="83">
        <f t="shared" si="0"/>
        <v>0</v>
      </c>
      <c r="E14" s="84"/>
      <c r="F14" s="84"/>
      <c r="G14" s="84"/>
      <c r="H14" s="84"/>
      <c r="I14" s="84"/>
      <c r="J14" s="84"/>
      <c r="K14" s="84"/>
      <c r="L14" s="84"/>
      <c r="M14" s="84"/>
      <c r="N14" s="84"/>
      <c r="O14" s="86"/>
    </row>
    <row r="15" spans="1:15" x14ac:dyDescent="0.25">
      <c r="A15" s="80"/>
      <c r="B15" s="81"/>
      <c r="C15" s="60"/>
      <c r="D15" s="83">
        <f t="shared" si="0"/>
        <v>0</v>
      </c>
      <c r="E15" s="84"/>
      <c r="F15" s="84"/>
      <c r="G15" s="84"/>
      <c r="H15" s="84"/>
      <c r="I15" s="84"/>
      <c r="J15" s="84"/>
      <c r="K15" s="84"/>
      <c r="L15" s="84"/>
      <c r="M15" s="84"/>
      <c r="N15" s="84"/>
      <c r="O15" s="86"/>
    </row>
    <row r="16" spans="1:15" x14ac:dyDescent="0.25">
      <c r="A16" s="80"/>
      <c r="B16" s="81"/>
      <c r="C16" s="60"/>
      <c r="D16" s="83">
        <f t="shared" si="0"/>
        <v>0</v>
      </c>
      <c r="E16" s="84"/>
      <c r="F16" s="84"/>
      <c r="G16" s="84"/>
      <c r="H16" s="84"/>
      <c r="I16" s="84"/>
      <c r="J16" s="84"/>
      <c r="K16" s="84"/>
      <c r="L16" s="84"/>
      <c r="M16" s="84"/>
      <c r="N16" s="84"/>
      <c r="O16" s="86"/>
    </row>
    <row r="17" spans="1:15" x14ac:dyDescent="0.25">
      <c r="A17" s="80"/>
      <c r="B17" s="81"/>
      <c r="C17" s="60"/>
      <c r="D17" s="83">
        <f t="shared" si="0"/>
        <v>0</v>
      </c>
      <c r="E17" s="84"/>
      <c r="F17" s="84"/>
      <c r="G17" s="84"/>
      <c r="H17" s="84"/>
      <c r="I17" s="84"/>
      <c r="J17" s="84"/>
      <c r="K17" s="84"/>
      <c r="L17" s="84"/>
      <c r="M17" s="84"/>
      <c r="N17" s="84"/>
      <c r="O17" s="86"/>
    </row>
    <row r="18" spans="1:15" ht="13.8" thickBot="1" x14ac:dyDescent="0.3">
      <c r="A18" s="80"/>
      <c r="B18" s="81"/>
      <c r="C18" s="60"/>
      <c r="D18" s="83"/>
      <c r="E18" s="84"/>
      <c r="F18" s="84"/>
      <c r="G18" s="84"/>
      <c r="H18" s="84"/>
      <c r="I18" s="19"/>
      <c r="J18" s="19"/>
      <c r="K18" s="19"/>
      <c r="L18" s="19"/>
      <c r="M18" s="19"/>
      <c r="N18" s="85"/>
      <c r="O18" s="86"/>
    </row>
    <row r="19" spans="1:15" ht="16.2" thickBot="1" x14ac:dyDescent="0.3">
      <c r="A19" s="87"/>
      <c r="B19" s="88"/>
      <c r="C19" s="89" t="s">
        <v>17</v>
      </c>
      <c r="D19" s="90">
        <f t="shared" ref="D19:O19" si="1">SUM(D6:D18)</f>
        <v>0</v>
      </c>
      <c r="E19" s="91">
        <f t="shared" si="1"/>
        <v>0</v>
      </c>
      <c r="F19" s="91">
        <f t="shared" si="1"/>
        <v>0</v>
      </c>
      <c r="G19" s="91">
        <f t="shared" si="1"/>
        <v>0</v>
      </c>
      <c r="H19" s="91">
        <f t="shared" si="1"/>
        <v>0</v>
      </c>
      <c r="I19" s="91">
        <f t="shared" si="1"/>
        <v>0</v>
      </c>
      <c r="J19" s="91">
        <f t="shared" si="1"/>
        <v>0</v>
      </c>
      <c r="K19" s="91">
        <f t="shared" si="1"/>
        <v>0</v>
      </c>
      <c r="L19" s="91">
        <f t="shared" si="1"/>
        <v>0</v>
      </c>
      <c r="M19" s="91">
        <f t="shared" si="1"/>
        <v>0</v>
      </c>
      <c r="N19" s="91">
        <f t="shared" si="1"/>
        <v>0</v>
      </c>
      <c r="O19" s="92">
        <f t="shared" si="1"/>
        <v>0</v>
      </c>
    </row>
    <row r="20" spans="1:15" ht="12.75" customHeight="1" x14ac:dyDescent="0.25">
      <c r="A20" s="87"/>
      <c r="B20" s="93"/>
      <c r="C20" s="93"/>
      <c r="D20" s="236" t="s">
        <v>18</v>
      </c>
      <c r="E20" s="236" t="s">
        <v>19</v>
      </c>
      <c r="F20" s="236" t="s">
        <v>19</v>
      </c>
      <c r="G20" s="237" t="s">
        <v>20</v>
      </c>
      <c r="H20" s="93"/>
      <c r="N20" s="93"/>
      <c r="O20" s="103"/>
    </row>
    <row r="21" spans="1:15" ht="13.8" thickBot="1" x14ac:dyDescent="0.3">
      <c r="A21" s="97"/>
      <c r="B21" s="72"/>
      <c r="C21" s="72" t="s">
        <v>71</v>
      </c>
      <c r="D21" s="98">
        <f>SUM(E19:O19)-D19</f>
        <v>0</v>
      </c>
      <c r="E21" s="253" t="str">
        <f>IF(D21=0,"","ERROR - figures do not add across")</f>
        <v/>
      </c>
      <c r="F21" s="72"/>
      <c r="G21" s="72"/>
      <c r="H21" s="72"/>
      <c r="I21" s="72"/>
      <c r="J21" s="72"/>
      <c r="K21" s="72"/>
      <c r="L21" s="72"/>
      <c r="M21" s="72"/>
      <c r="N21" s="72"/>
      <c r="O21" s="99"/>
    </row>
    <row r="23" spans="1:15" ht="13.8" thickBot="1" x14ac:dyDescent="0.3"/>
    <row r="24" spans="1:15" ht="18" thickBot="1" x14ac:dyDescent="0.3">
      <c r="A24" s="100" t="s">
        <v>21</v>
      </c>
      <c r="B24" s="101"/>
      <c r="C24" s="61"/>
      <c r="D24" s="68"/>
      <c r="E24" s="68"/>
      <c r="F24" s="68"/>
      <c r="G24" s="68"/>
      <c r="H24" s="68"/>
      <c r="I24" s="68"/>
      <c r="J24" s="68"/>
      <c r="K24" s="68"/>
      <c r="L24" s="68"/>
      <c r="M24" s="68"/>
      <c r="N24" s="239" t="s">
        <v>10</v>
      </c>
      <c r="O24" s="70">
        <f>O3</f>
        <v>40720</v>
      </c>
    </row>
    <row r="25" spans="1:15" ht="13.8" thickBot="1" x14ac:dyDescent="0.3">
      <c r="A25" s="102"/>
      <c r="B25" s="93"/>
      <c r="C25" s="93"/>
      <c r="D25" s="93"/>
      <c r="E25" s="93"/>
      <c r="F25" s="93"/>
      <c r="G25" s="93"/>
      <c r="H25" s="93"/>
      <c r="I25" s="93"/>
      <c r="J25" s="93"/>
      <c r="K25" s="93"/>
      <c r="L25" s="93"/>
      <c r="M25" s="93"/>
      <c r="N25" s="93"/>
      <c r="O25" s="103"/>
    </row>
    <row r="26" spans="1:15" s="79" customFormat="1" ht="27" customHeight="1" thickBot="1" x14ac:dyDescent="0.3">
      <c r="A26" s="104" t="s">
        <v>12</v>
      </c>
      <c r="B26" s="75" t="s">
        <v>68</v>
      </c>
      <c r="C26" s="105" t="s">
        <v>123</v>
      </c>
      <c r="D26" s="106" t="s">
        <v>63</v>
      </c>
      <c r="E26" s="107" t="str">
        <f>'Month 2'!E26</f>
        <v>PAYE/NI</v>
      </c>
      <c r="F26" s="107" t="str">
        <f>'Month 2'!F26</f>
        <v>Net Wages</v>
      </c>
      <c r="G26" s="107" t="str">
        <f>'Month 2'!G26</f>
        <v>Dividends</v>
      </c>
      <c r="H26" s="107" t="str">
        <f>'Month 2'!H26</f>
        <v>Company Dep A/C</v>
      </c>
      <c r="I26" s="107" t="str">
        <f>'Month 2'!I26</f>
        <v>Company Pension</v>
      </c>
      <c r="J26" s="107" t="str">
        <f>'Month 2'!J26</f>
        <v>Motor &amp; Travel</v>
      </c>
      <c r="K26" s="107" t="str">
        <f>'Month 2'!K26</f>
        <v>Standing Orders</v>
      </c>
      <c r="L26" s="107" t="str">
        <f>'Month 2'!L26</f>
        <v>Petty Cash</v>
      </c>
      <c r="M26" s="107" t="s">
        <v>143</v>
      </c>
      <c r="N26" s="107" t="str">
        <f>'Month 2'!N26</f>
        <v>Sundries</v>
      </c>
      <c r="O26" s="78" t="s">
        <v>142</v>
      </c>
    </row>
    <row r="27" spans="1:15" x14ac:dyDescent="0.25">
      <c r="A27" s="80"/>
      <c r="B27" s="81"/>
      <c r="C27" s="60"/>
      <c r="D27" s="83">
        <f t="shared" ref="D27:D40" si="2">SUM(E27:O27)</f>
        <v>0</v>
      </c>
      <c r="E27" s="84"/>
      <c r="F27" s="84"/>
      <c r="G27" s="84"/>
      <c r="H27" s="84"/>
      <c r="I27" s="84"/>
      <c r="J27" s="84"/>
      <c r="K27" s="84"/>
      <c r="L27" s="84"/>
      <c r="M27" s="84"/>
      <c r="N27" s="84"/>
      <c r="O27" s="86"/>
    </row>
    <row r="28" spans="1:15" x14ac:dyDescent="0.25">
      <c r="A28" s="80"/>
      <c r="B28" s="81"/>
      <c r="C28" s="60"/>
      <c r="D28" s="83">
        <f t="shared" si="2"/>
        <v>0</v>
      </c>
      <c r="E28" s="84"/>
      <c r="F28" s="84"/>
      <c r="G28" s="84"/>
      <c r="H28" s="84"/>
      <c r="I28" s="84"/>
      <c r="J28" s="84"/>
      <c r="K28" s="84"/>
      <c r="L28" s="84"/>
      <c r="M28" s="84"/>
      <c r="N28" s="84"/>
      <c r="O28" s="86"/>
    </row>
    <row r="29" spans="1:15" x14ac:dyDescent="0.25">
      <c r="A29" s="80"/>
      <c r="B29" s="81"/>
      <c r="C29" s="60"/>
      <c r="D29" s="83">
        <f t="shared" si="2"/>
        <v>0</v>
      </c>
      <c r="E29" s="84"/>
      <c r="F29" s="84"/>
      <c r="G29" s="84"/>
      <c r="H29" s="84"/>
      <c r="I29" s="84"/>
      <c r="J29" s="84"/>
      <c r="K29" s="84"/>
      <c r="L29" s="84"/>
      <c r="M29" s="84"/>
      <c r="N29" s="84"/>
      <c r="O29" s="86"/>
    </row>
    <row r="30" spans="1:15" x14ac:dyDescent="0.25">
      <c r="A30" s="80"/>
      <c r="B30" s="81"/>
      <c r="C30" s="60"/>
      <c r="D30" s="83">
        <f t="shared" si="2"/>
        <v>0</v>
      </c>
      <c r="E30" s="84"/>
      <c r="F30" s="84"/>
      <c r="G30" s="84"/>
      <c r="H30" s="84"/>
      <c r="I30" s="84"/>
      <c r="J30" s="84"/>
      <c r="K30" s="84"/>
      <c r="L30" s="84"/>
      <c r="M30" s="84"/>
      <c r="N30" s="84"/>
      <c r="O30" s="86"/>
    </row>
    <row r="31" spans="1:15" x14ac:dyDescent="0.25">
      <c r="A31" s="80"/>
      <c r="B31" s="81"/>
      <c r="C31" s="60"/>
      <c r="D31" s="83">
        <f t="shared" si="2"/>
        <v>0</v>
      </c>
      <c r="E31" s="84"/>
      <c r="F31" s="84"/>
      <c r="G31" s="84"/>
      <c r="H31" s="84"/>
      <c r="I31" s="84"/>
      <c r="J31" s="84"/>
      <c r="K31" s="84"/>
      <c r="L31" s="84"/>
      <c r="M31" s="84"/>
      <c r="N31" s="84"/>
      <c r="O31" s="86"/>
    </row>
    <row r="32" spans="1:15" x14ac:dyDescent="0.25">
      <c r="A32" s="80"/>
      <c r="B32" s="81"/>
      <c r="C32" s="60"/>
      <c r="D32" s="83">
        <f t="shared" si="2"/>
        <v>0</v>
      </c>
      <c r="E32" s="84"/>
      <c r="F32" s="84"/>
      <c r="G32" s="84"/>
      <c r="H32" s="84"/>
      <c r="I32" s="84"/>
      <c r="J32" s="84"/>
      <c r="K32" s="84"/>
      <c r="L32" s="84"/>
      <c r="M32" s="84"/>
      <c r="N32" s="84"/>
      <c r="O32" s="86"/>
    </row>
    <row r="33" spans="1:15" x14ac:dyDescent="0.25">
      <c r="A33" s="80"/>
      <c r="B33" s="81"/>
      <c r="C33" s="60"/>
      <c r="D33" s="83">
        <f t="shared" si="2"/>
        <v>0</v>
      </c>
      <c r="E33" s="84"/>
      <c r="F33" s="84"/>
      <c r="G33" s="84"/>
      <c r="H33" s="84"/>
      <c r="I33" s="84"/>
      <c r="J33" s="84"/>
      <c r="K33" s="84"/>
      <c r="L33" s="84"/>
      <c r="M33" s="84"/>
      <c r="N33" s="84"/>
      <c r="O33" s="86"/>
    </row>
    <row r="34" spans="1:15" x14ac:dyDescent="0.25">
      <c r="A34" s="80"/>
      <c r="B34" s="81"/>
      <c r="C34" s="60"/>
      <c r="D34" s="83">
        <f t="shared" si="2"/>
        <v>0</v>
      </c>
      <c r="E34" s="84"/>
      <c r="F34" s="84"/>
      <c r="G34" s="84"/>
      <c r="H34" s="84"/>
      <c r="I34" s="84"/>
      <c r="J34" s="84"/>
      <c r="K34" s="84"/>
      <c r="L34" s="84"/>
      <c r="M34" s="84"/>
      <c r="N34" s="84"/>
      <c r="O34" s="86"/>
    </row>
    <row r="35" spans="1:15" x14ac:dyDescent="0.25">
      <c r="A35" s="80"/>
      <c r="B35" s="81"/>
      <c r="C35" s="60"/>
      <c r="D35" s="83">
        <f t="shared" si="2"/>
        <v>0</v>
      </c>
      <c r="E35" s="84"/>
      <c r="F35" s="84"/>
      <c r="G35" s="84"/>
      <c r="H35" s="84"/>
      <c r="I35" s="84"/>
      <c r="J35" s="84"/>
      <c r="K35" s="84"/>
      <c r="L35" s="84"/>
      <c r="M35" s="84"/>
      <c r="N35" s="84"/>
      <c r="O35" s="86"/>
    </row>
    <row r="36" spans="1:15" x14ac:dyDescent="0.25">
      <c r="A36" s="80"/>
      <c r="B36" s="81"/>
      <c r="C36" s="60"/>
      <c r="D36" s="83">
        <f t="shared" si="2"/>
        <v>0</v>
      </c>
      <c r="E36" s="84"/>
      <c r="F36" s="84"/>
      <c r="G36" s="84"/>
      <c r="H36" s="84"/>
      <c r="I36" s="84"/>
      <c r="J36" s="84"/>
      <c r="K36" s="84"/>
      <c r="L36" s="84"/>
      <c r="M36" s="84"/>
      <c r="N36" s="84"/>
      <c r="O36" s="86"/>
    </row>
    <row r="37" spans="1:15" x14ac:dyDescent="0.25">
      <c r="A37" s="80"/>
      <c r="B37" s="81"/>
      <c r="C37" s="60"/>
      <c r="D37" s="83">
        <f t="shared" si="2"/>
        <v>0</v>
      </c>
      <c r="E37" s="84"/>
      <c r="F37" s="84"/>
      <c r="G37" s="84"/>
      <c r="H37" s="84"/>
      <c r="I37" s="84"/>
      <c r="J37" s="84"/>
      <c r="K37" s="84"/>
      <c r="L37" s="84"/>
      <c r="M37" s="84"/>
      <c r="N37" s="84"/>
      <c r="O37" s="86"/>
    </row>
    <row r="38" spans="1:15" x14ac:dyDescent="0.25">
      <c r="A38" s="80"/>
      <c r="B38" s="81"/>
      <c r="C38" s="60"/>
      <c r="D38" s="83">
        <f t="shared" si="2"/>
        <v>0</v>
      </c>
      <c r="E38" s="84"/>
      <c r="F38" s="84"/>
      <c r="G38" s="84"/>
      <c r="H38" s="84"/>
      <c r="I38" s="84"/>
      <c r="J38" s="84"/>
      <c r="K38" s="84"/>
      <c r="L38" s="84"/>
      <c r="M38" s="84"/>
      <c r="N38" s="84"/>
      <c r="O38" s="86"/>
    </row>
    <row r="39" spans="1:15" x14ac:dyDescent="0.25">
      <c r="A39" s="80"/>
      <c r="B39" s="81"/>
      <c r="C39" s="60"/>
      <c r="D39" s="83">
        <f t="shared" si="2"/>
        <v>0</v>
      </c>
      <c r="E39" s="84"/>
      <c r="F39" s="84"/>
      <c r="G39" s="84"/>
      <c r="H39" s="84"/>
      <c r="I39" s="84"/>
      <c r="J39" s="84"/>
      <c r="K39" s="84"/>
      <c r="L39" s="84"/>
      <c r="M39" s="84"/>
      <c r="N39" s="84"/>
      <c r="O39" s="86"/>
    </row>
    <row r="40" spans="1:15" x14ac:dyDescent="0.25">
      <c r="A40" s="80"/>
      <c r="B40" s="81"/>
      <c r="C40" s="60"/>
      <c r="D40" s="83">
        <f t="shared" si="2"/>
        <v>0</v>
      </c>
      <c r="E40" s="84"/>
      <c r="F40" s="84"/>
      <c r="G40" s="84"/>
      <c r="H40" s="84"/>
      <c r="I40" s="84"/>
      <c r="J40" s="84"/>
      <c r="K40" s="84"/>
      <c r="L40" s="84"/>
      <c r="M40" s="84"/>
      <c r="N40" s="84"/>
      <c r="O40" s="86"/>
    </row>
    <row r="41" spans="1:15" ht="13.8" thickBot="1" x14ac:dyDescent="0.3">
      <c r="A41" s="80"/>
      <c r="B41" s="81"/>
      <c r="C41" s="60"/>
      <c r="D41" s="83"/>
      <c r="E41" s="84"/>
      <c r="F41" s="84"/>
      <c r="G41" s="84"/>
      <c r="H41" s="84"/>
      <c r="I41" s="84"/>
      <c r="J41" s="84"/>
      <c r="K41" s="84"/>
      <c r="L41" s="84"/>
      <c r="M41" s="84"/>
      <c r="N41" s="84"/>
      <c r="O41" s="86"/>
    </row>
    <row r="42" spans="1:15" ht="16.2" thickBot="1" x14ac:dyDescent="0.3">
      <c r="A42" s="87"/>
      <c r="B42" s="88"/>
      <c r="C42" s="89" t="s">
        <v>17</v>
      </c>
      <c r="D42" s="90">
        <f t="shared" ref="D42:O42" si="3">SUM(D27:D41)</f>
        <v>0</v>
      </c>
      <c r="E42" s="91">
        <f t="shared" si="3"/>
        <v>0</v>
      </c>
      <c r="F42" s="91">
        <f t="shared" si="3"/>
        <v>0</v>
      </c>
      <c r="G42" s="91">
        <f t="shared" si="3"/>
        <v>0</v>
      </c>
      <c r="H42" s="91">
        <f t="shared" si="3"/>
        <v>0</v>
      </c>
      <c r="I42" s="91">
        <f t="shared" si="3"/>
        <v>0</v>
      </c>
      <c r="J42" s="91">
        <f t="shared" si="3"/>
        <v>0</v>
      </c>
      <c r="K42" s="91">
        <f>SUM(K27:K41)</f>
        <v>0</v>
      </c>
      <c r="L42" s="91">
        <f>SUM(L27:L41)</f>
        <v>0</v>
      </c>
      <c r="M42" s="91">
        <f t="shared" si="3"/>
        <v>0</v>
      </c>
      <c r="N42" s="91">
        <f t="shared" si="3"/>
        <v>0</v>
      </c>
      <c r="O42" s="92">
        <f t="shared" si="3"/>
        <v>0</v>
      </c>
    </row>
    <row r="43" spans="1:15" ht="13.8" x14ac:dyDescent="0.25">
      <c r="A43" s="87"/>
      <c r="B43" s="93"/>
      <c r="C43" s="93"/>
      <c r="D43" s="94" t="s">
        <v>26</v>
      </c>
      <c r="E43" s="93"/>
      <c r="F43" s="93"/>
      <c r="G43" s="93"/>
      <c r="H43" s="93"/>
      <c r="I43" s="93"/>
      <c r="J43" s="93"/>
      <c r="K43" s="93"/>
      <c r="L43" s="93"/>
      <c r="M43" s="93"/>
      <c r="N43" s="93"/>
      <c r="O43" s="108" t="s">
        <v>27</v>
      </c>
    </row>
    <row r="44" spans="1:15" ht="13.8" thickBot="1" x14ac:dyDescent="0.3">
      <c r="A44" s="97"/>
      <c r="B44" s="72"/>
      <c r="C44" s="72" t="s">
        <v>71</v>
      </c>
      <c r="D44" s="98">
        <f>SUM(E42:O42)-D42</f>
        <v>0</v>
      </c>
      <c r="E44" s="253" t="str">
        <f>IF(D44=0,"","ERROR - figures do not add across")</f>
        <v/>
      </c>
      <c r="F44" s="72"/>
      <c r="G44" s="72"/>
      <c r="H44" s="72"/>
      <c r="I44" s="72"/>
      <c r="J44" s="72"/>
      <c r="K44" s="72"/>
      <c r="L44" s="72"/>
      <c r="M44" s="72"/>
      <c r="N44" s="72"/>
      <c r="O44" s="99"/>
    </row>
    <row r="46" spans="1:15" ht="13.8" thickBot="1" x14ac:dyDescent="0.3"/>
    <row r="47" spans="1:15" ht="18" thickBot="1" x14ac:dyDescent="0.3">
      <c r="A47" s="109" t="s">
        <v>28</v>
      </c>
      <c r="B47" s="61"/>
      <c r="C47" s="61"/>
      <c r="D47" s="110"/>
      <c r="E47" s="239" t="s">
        <v>10</v>
      </c>
      <c r="F47" s="70">
        <f>O3</f>
        <v>40720</v>
      </c>
      <c r="H47" s="109" t="s">
        <v>132</v>
      </c>
      <c r="I47" s="61"/>
      <c r="J47" s="61"/>
      <c r="K47" s="68"/>
      <c r="L47" s="68"/>
      <c r="M47" s="68"/>
      <c r="N47" s="239" t="s">
        <v>10</v>
      </c>
      <c r="O47" s="70">
        <f>F47</f>
        <v>40720</v>
      </c>
    </row>
    <row r="48" spans="1:15" x14ac:dyDescent="0.25">
      <c r="A48" s="102"/>
      <c r="B48" s="93"/>
      <c r="C48" s="93"/>
      <c r="D48" s="93"/>
      <c r="E48" s="93"/>
      <c r="F48" s="103"/>
      <c r="H48" s="102"/>
      <c r="I48" s="93"/>
      <c r="J48" s="93"/>
      <c r="K48" s="93"/>
      <c r="L48" s="93"/>
      <c r="M48" s="93"/>
      <c r="N48" s="93"/>
      <c r="O48" s="103"/>
    </row>
    <row r="49" spans="1:15" x14ac:dyDescent="0.25">
      <c r="A49" s="111" t="s">
        <v>29</v>
      </c>
      <c r="B49" s="93"/>
      <c r="C49" s="93"/>
      <c r="D49" s="93"/>
      <c r="E49" s="83">
        <f>'Month 2'!E53</f>
        <v>0</v>
      </c>
      <c r="F49" s="103"/>
      <c r="H49" s="112"/>
      <c r="I49" s="93"/>
      <c r="J49" s="93"/>
      <c r="K49" s="93"/>
      <c r="L49" s="93"/>
      <c r="M49" s="93"/>
      <c r="N49" s="93"/>
      <c r="O49" s="103"/>
    </row>
    <row r="50" spans="1:15" ht="14.4" thickBot="1" x14ac:dyDescent="0.3">
      <c r="A50" s="111" t="s">
        <v>30</v>
      </c>
      <c r="B50" s="93"/>
      <c r="C50" s="94"/>
      <c r="D50" s="94" t="s">
        <v>18</v>
      </c>
      <c r="E50" s="113">
        <f>+D19</f>
        <v>0</v>
      </c>
      <c r="F50" s="103"/>
      <c r="H50" s="112" t="s">
        <v>29</v>
      </c>
      <c r="I50" s="93"/>
      <c r="J50" s="93"/>
      <c r="K50" s="93"/>
      <c r="L50" s="93"/>
      <c r="N50" s="114">
        <f>'Month 2'!N56</f>
        <v>0</v>
      </c>
      <c r="O50" s="103"/>
    </row>
    <row r="51" spans="1:15" ht="13.8" x14ac:dyDescent="0.25">
      <c r="A51" s="111"/>
      <c r="B51" s="93"/>
      <c r="C51" s="94"/>
      <c r="D51" s="94"/>
      <c r="E51" s="83">
        <f>SUM(E49:E50)</f>
        <v>0</v>
      </c>
      <c r="F51" s="103"/>
      <c r="H51" s="112"/>
      <c r="I51" s="93"/>
      <c r="J51" s="93"/>
      <c r="K51" s="93"/>
      <c r="L51" s="93"/>
      <c r="N51" s="114"/>
      <c r="O51" s="103"/>
    </row>
    <row r="52" spans="1:15" ht="14.4" thickBot="1" x14ac:dyDescent="0.3">
      <c r="A52" s="111" t="s">
        <v>59</v>
      </c>
      <c r="B52" s="93"/>
      <c r="C52" s="94"/>
      <c r="D52" s="94" t="s">
        <v>26</v>
      </c>
      <c r="E52" s="83">
        <f>+D42</f>
        <v>0</v>
      </c>
      <c r="F52" s="103"/>
      <c r="H52" s="112" t="s">
        <v>133</v>
      </c>
      <c r="I52" s="93"/>
      <c r="J52" s="93"/>
      <c r="K52" s="93"/>
      <c r="L52" s="93"/>
      <c r="N52" s="114">
        <f>L42</f>
        <v>0</v>
      </c>
      <c r="O52" s="103"/>
    </row>
    <row r="53" spans="1:15" ht="14.4" thickBot="1" x14ac:dyDescent="0.3">
      <c r="A53" s="111" t="s">
        <v>31</v>
      </c>
      <c r="B53" s="94"/>
      <c r="C53" s="94"/>
      <c r="D53" s="108" t="s">
        <v>32</v>
      </c>
      <c r="E53" s="115">
        <f>SUM(E51-E52)</f>
        <v>0</v>
      </c>
      <c r="F53" s="103"/>
      <c r="H53" s="112"/>
      <c r="I53" s="93"/>
      <c r="J53" s="93"/>
      <c r="K53" s="93"/>
      <c r="L53" s="93"/>
      <c r="N53" s="114"/>
      <c r="O53" s="103"/>
    </row>
    <row r="54" spans="1:15" ht="13.8" thickBot="1" x14ac:dyDescent="0.3">
      <c r="A54" s="102"/>
      <c r="B54" s="93"/>
      <c r="C54" s="93"/>
      <c r="D54" s="93"/>
      <c r="E54" s="93"/>
      <c r="F54" s="103"/>
      <c r="H54" s="112" t="s">
        <v>134</v>
      </c>
      <c r="I54" s="93"/>
      <c r="J54" s="93"/>
      <c r="K54" s="93"/>
      <c r="L54" s="93"/>
      <c r="N54" s="114">
        <f>-D88</f>
        <v>0</v>
      </c>
      <c r="O54" s="103"/>
    </row>
    <row r="55" spans="1:15" ht="18" thickBot="1" x14ac:dyDescent="0.3">
      <c r="A55" s="116" t="s">
        <v>33</v>
      </c>
      <c r="B55" s="117"/>
      <c r="C55" s="61"/>
      <c r="D55" s="118"/>
      <c r="E55" s="93"/>
      <c r="F55" s="103"/>
      <c r="H55" s="112"/>
      <c r="I55" s="93"/>
      <c r="J55" s="93"/>
      <c r="K55" s="93"/>
      <c r="L55" s="93"/>
      <c r="N55" s="114"/>
      <c r="O55" s="103"/>
    </row>
    <row r="56" spans="1:15" ht="13.8" thickBot="1" x14ac:dyDescent="0.3">
      <c r="A56" s="102"/>
      <c r="B56" s="93"/>
      <c r="C56" s="93"/>
      <c r="D56" s="93"/>
      <c r="E56" s="93"/>
      <c r="F56" s="103"/>
      <c r="H56" s="112" t="s">
        <v>31</v>
      </c>
      <c r="I56" s="93"/>
      <c r="J56" s="93"/>
      <c r="K56" s="93"/>
      <c r="L56" s="93"/>
      <c r="N56" s="119">
        <f>SUM(N50:N55)</f>
        <v>0</v>
      </c>
      <c r="O56" s="103"/>
    </row>
    <row r="57" spans="1:15" ht="13.8" thickBot="1" x14ac:dyDescent="0.3">
      <c r="A57" s="111" t="s">
        <v>34</v>
      </c>
      <c r="B57" s="93"/>
      <c r="C57" s="120"/>
      <c r="D57" s="121"/>
      <c r="E57" s="122"/>
      <c r="F57" s="103"/>
      <c r="H57" s="102"/>
      <c r="I57" s="93"/>
      <c r="J57" s="93"/>
      <c r="K57" s="93"/>
      <c r="L57" s="93"/>
      <c r="M57" s="93"/>
      <c r="N57" s="93"/>
      <c r="O57" s="103"/>
    </row>
    <row r="58" spans="1:15" x14ac:dyDescent="0.25">
      <c r="A58" s="111"/>
      <c r="B58" s="93"/>
      <c r="C58" s="120"/>
      <c r="D58" s="121"/>
      <c r="E58" s="83"/>
      <c r="F58" s="103"/>
      <c r="H58" s="102"/>
      <c r="I58" s="93"/>
      <c r="J58" s="93"/>
      <c r="K58" s="93"/>
      <c r="L58" s="93"/>
      <c r="M58" s="93"/>
      <c r="N58" s="93"/>
      <c r="O58" s="103"/>
    </row>
    <row r="59" spans="1:15" x14ac:dyDescent="0.25">
      <c r="A59" s="111" t="s">
        <v>35</v>
      </c>
      <c r="B59" s="93"/>
      <c r="C59" s="120"/>
      <c r="D59" s="123"/>
      <c r="E59" s="83"/>
      <c r="F59" s="103"/>
      <c r="H59" s="102"/>
      <c r="I59" s="93"/>
      <c r="J59" s="93"/>
      <c r="K59" s="93"/>
      <c r="L59" s="93"/>
      <c r="M59" s="93"/>
      <c r="N59" s="93"/>
      <c r="O59" s="103"/>
    </row>
    <row r="60" spans="1:15" x14ac:dyDescent="0.25">
      <c r="A60" s="124"/>
      <c r="B60" s="52"/>
      <c r="C60" s="125"/>
      <c r="D60" s="126"/>
      <c r="E60" s="83"/>
      <c r="F60" s="103"/>
      <c r="H60" s="102"/>
      <c r="I60" s="93"/>
      <c r="J60" s="93"/>
      <c r="K60" s="93"/>
      <c r="L60" s="93"/>
      <c r="M60" s="93"/>
      <c r="N60" s="93"/>
      <c r="O60" s="103"/>
    </row>
    <row r="61" spans="1:15" ht="13.8" thickBot="1" x14ac:dyDescent="0.3">
      <c r="A61" s="124"/>
      <c r="B61" s="52"/>
      <c r="C61" s="125"/>
      <c r="D61" s="126"/>
      <c r="E61" s="127">
        <f>SUM(D59:D61)</f>
        <v>0</v>
      </c>
      <c r="F61" s="103"/>
      <c r="H61" s="102"/>
      <c r="I61" s="93"/>
      <c r="J61" s="93"/>
      <c r="K61" s="93"/>
      <c r="L61" s="93"/>
      <c r="M61" s="93"/>
      <c r="N61" s="93"/>
      <c r="O61" s="103"/>
    </row>
    <row r="62" spans="1:15" x14ac:dyDescent="0.25">
      <c r="A62" s="111"/>
      <c r="B62" s="93"/>
      <c r="C62" s="120"/>
      <c r="D62" s="123"/>
      <c r="E62" s="83">
        <f>SUM(E57:E61)</f>
        <v>0</v>
      </c>
      <c r="F62" s="103"/>
      <c r="H62" s="102"/>
      <c r="I62" s="93"/>
      <c r="J62" s="93"/>
      <c r="K62" s="93"/>
      <c r="L62" s="93"/>
      <c r="M62" s="93"/>
      <c r="N62" s="93"/>
      <c r="O62" s="103"/>
    </row>
    <row r="63" spans="1:15" x14ac:dyDescent="0.25">
      <c r="A63" s="111" t="s">
        <v>36</v>
      </c>
      <c r="B63" s="93"/>
      <c r="C63" s="128"/>
      <c r="D63" s="129"/>
      <c r="E63" s="83"/>
      <c r="F63" s="103"/>
      <c r="H63" s="102"/>
      <c r="I63" s="93"/>
      <c r="J63" s="93"/>
      <c r="K63" s="93"/>
      <c r="L63" s="93"/>
      <c r="M63" s="93"/>
      <c r="N63" s="93"/>
      <c r="O63" s="103"/>
    </row>
    <row r="64" spans="1:15" x14ac:dyDescent="0.25">
      <c r="A64" s="124"/>
      <c r="B64" s="52"/>
      <c r="C64" s="60"/>
      <c r="D64" s="130"/>
      <c r="E64" s="83"/>
      <c r="F64" s="103"/>
      <c r="H64" s="102"/>
      <c r="I64" s="93"/>
      <c r="J64" s="93"/>
      <c r="K64" s="93"/>
      <c r="L64" s="93"/>
      <c r="M64" s="93"/>
      <c r="N64" s="93"/>
      <c r="O64" s="103"/>
    </row>
    <row r="65" spans="1:15" x14ac:dyDescent="0.25">
      <c r="A65" s="124"/>
      <c r="B65" s="52"/>
      <c r="C65" s="60"/>
      <c r="D65" s="130"/>
      <c r="E65" s="83"/>
      <c r="F65" s="103"/>
      <c r="H65" s="102"/>
      <c r="I65" s="93"/>
      <c r="J65" s="93"/>
      <c r="K65" s="93"/>
      <c r="L65" s="93"/>
      <c r="M65" s="93"/>
      <c r="N65" s="93"/>
      <c r="O65" s="103"/>
    </row>
    <row r="66" spans="1:15" ht="13.8" thickBot="1" x14ac:dyDescent="0.3">
      <c r="A66" s="124"/>
      <c r="B66" s="52"/>
      <c r="C66" s="125"/>
      <c r="D66" s="126"/>
      <c r="E66" s="83">
        <f>SUM(D63:D66)</f>
        <v>0</v>
      </c>
      <c r="F66" s="103"/>
      <c r="H66" s="102"/>
      <c r="I66" s="93"/>
      <c r="J66" s="93"/>
      <c r="K66" s="93"/>
      <c r="L66" s="93"/>
      <c r="M66" s="93"/>
      <c r="N66" s="93"/>
      <c r="O66" s="103"/>
    </row>
    <row r="67" spans="1:15" ht="16.2" thickBot="1" x14ac:dyDescent="0.3">
      <c r="A67" s="131" t="s">
        <v>37</v>
      </c>
      <c r="B67" s="132"/>
      <c r="C67" s="132"/>
      <c r="D67" s="132" t="s">
        <v>32</v>
      </c>
      <c r="E67" s="115">
        <f>SUM(E62-E66)</f>
        <v>0</v>
      </c>
      <c r="F67" s="99"/>
      <c r="H67" s="133"/>
      <c r="I67" s="72"/>
      <c r="J67" s="72"/>
      <c r="K67" s="72"/>
      <c r="L67" s="72"/>
      <c r="M67" s="72"/>
      <c r="N67" s="72"/>
      <c r="O67" s="99"/>
    </row>
    <row r="69" spans="1:15" ht="13.8" thickBot="1" x14ac:dyDescent="0.3"/>
    <row r="70" spans="1:15" ht="18" thickBot="1" x14ac:dyDescent="0.3">
      <c r="A70" s="100" t="s">
        <v>38</v>
      </c>
      <c r="B70" s="101"/>
      <c r="C70" s="61"/>
      <c r="D70" s="68"/>
      <c r="E70" s="68"/>
      <c r="F70" s="68"/>
      <c r="G70" s="68"/>
      <c r="H70" s="68"/>
      <c r="I70" s="68"/>
      <c r="J70" s="68"/>
      <c r="K70" s="68"/>
      <c r="L70" s="68"/>
      <c r="M70" s="68"/>
      <c r="N70" s="239" t="s">
        <v>10</v>
      </c>
      <c r="O70" s="70">
        <f>O3</f>
        <v>40720</v>
      </c>
    </row>
    <row r="71" spans="1:15" ht="13.8" thickBot="1" x14ac:dyDescent="0.3">
      <c r="A71" s="102"/>
      <c r="B71" s="93"/>
      <c r="C71" s="93"/>
      <c r="D71" s="93"/>
      <c r="E71" s="93"/>
      <c r="F71" s="93"/>
      <c r="G71" s="93"/>
      <c r="H71" s="93"/>
      <c r="I71" s="93"/>
      <c r="J71" s="93"/>
      <c r="K71" s="93"/>
      <c r="L71" s="93"/>
      <c r="M71" s="93"/>
      <c r="N71" s="93"/>
      <c r="O71" s="103"/>
    </row>
    <row r="72" spans="1:15" s="79" customFormat="1" ht="27" customHeight="1" thickBot="1" x14ac:dyDescent="0.3">
      <c r="A72" s="74" t="s">
        <v>12</v>
      </c>
      <c r="B72" s="75" t="s">
        <v>129</v>
      </c>
      <c r="C72" s="105" t="s">
        <v>123</v>
      </c>
      <c r="D72" s="106" t="s">
        <v>64</v>
      </c>
      <c r="E72" s="107" t="str">
        <f>'Month 2'!E72</f>
        <v>Motor &amp; Travel</v>
      </c>
      <c r="F72" s="107" t="str">
        <f>'Month 2'!F72</f>
        <v>Print, Post Stationery</v>
      </c>
      <c r="G72" s="107" t="str">
        <f>'Month 2'!G72</f>
        <v>Subsist Accom</v>
      </c>
      <c r="H72" s="107" t="str">
        <f>'Month 2'!H72</f>
        <v>Software &amp; Materials</v>
      </c>
      <c r="I72" s="77" t="str">
        <f>'Month 2'!I72</f>
        <v>Books &amp; Magazines</v>
      </c>
      <c r="J72" s="107" t="str">
        <f>'Month 2'!J72</f>
        <v>Mobile &amp; Telephone</v>
      </c>
      <c r="K72" s="107" t="str">
        <f>'Month 2'!K72</f>
        <v xml:space="preserve"> </v>
      </c>
      <c r="L72" s="107" t="str">
        <f>'Month 2'!L72</f>
        <v xml:space="preserve"> </v>
      </c>
      <c r="M72" s="107" t="str">
        <f>'Month 2'!M72</f>
        <v xml:space="preserve"> </v>
      </c>
      <c r="N72" s="107" t="str">
        <f>'Month 2'!N72</f>
        <v>Sundries</v>
      </c>
      <c r="O72" s="134" t="s">
        <v>142</v>
      </c>
    </row>
    <row r="73" spans="1:15" x14ac:dyDescent="0.25">
      <c r="A73" s="80"/>
      <c r="B73" s="81"/>
      <c r="C73" s="60"/>
      <c r="D73" s="83">
        <f t="shared" ref="D73:D86" si="4">SUM(E73:O73)</f>
        <v>0</v>
      </c>
      <c r="E73" s="84"/>
      <c r="F73" s="84"/>
      <c r="G73" s="84"/>
      <c r="H73" s="84"/>
      <c r="I73" s="84"/>
      <c r="J73" s="84"/>
      <c r="K73" s="84"/>
      <c r="L73" s="84"/>
      <c r="M73" s="84"/>
      <c r="N73" s="84"/>
      <c r="O73" s="86"/>
    </row>
    <row r="74" spans="1:15" x14ac:dyDescent="0.25">
      <c r="A74" s="80"/>
      <c r="B74" s="81"/>
      <c r="C74" s="60"/>
      <c r="D74" s="83">
        <f t="shared" si="4"/>
        <v>0</v>
      </c>
      <c r="E74" s="84"/>
      <c r="F74" s="84"/>
      <c r="G74" s="84"/>
      <c r="H74" s="84"/>
      <c r="I74" s="84"/>
      <c r="J74" s="84"/>
      <c r="K74" s="84"/>
      <c r="L74" s="84"/>
      <c r="M74" s="84"/>
      <c r="N74" s="84"/>
      <c r="O74" s="86"/>
    </row>
    <row r="75" spans="1:15" x14ac:dyDescent="0.25">
      <c r="A75" s="80"/>
      <c r="B75" s="81"/>
      <c r="C75" s="60"/>
      <c r="D75" s="83">
        <f t="shared" si="4"/>
        <v>0</v>
      </c>
      <c r="E75" s="84"/>
      <c r="F75" s="84"/>
      <c r="G75" s="84"/>
      <c r="H75" s="84"/>
      <c r="I75" s="84"/>
      <c r="J75" s="84"/>
      <c r="K75" s="84"/>
      <c r="L75" s="84"/>
      <c r="M75" s="84"/>
      <c r="N75" s="84"/>
      <c r="O75" s="86"/>
    </row>
    <row r="76" spans="1:15" x14ac:dyDescent="0.25">
      <c r="A76" s="80"/>
      <c r="B76" s="81"/>
      <c r="C76" s="60"/>
      <c r="D76" s="83">
        <f t="shared" si="4"/>
        <v>0</v>
      </c>
      <c r="E76" s="84"/>
      <c r="F76" s="84"/>
      <c r="G76" s="84"/>
      <c r="H76" s="84"/>
      <c r="I76" s="84"/>
      <c r="J76" s="84"/>
      <c r="K76" s="84"/>
      <c r="L76" s="84"/>
      <c r="M76" s="84"/>
      <c r="N76" s="84"/>
      <c r="O76" s="86"/>
    </row>
    <row r="77" spans="1:15" x14ac:dyDescent="0.25">
      <c r="A77" s="80"/>
      <c r="B77" s="81"/>
      <c r="C77" s="60"/>
      <c r="D77" s="83">
        <f t="shared" si="4"/>
        <v>0</v>
      </c>
      <c r="E77" s="84"/>
      <c r="F77" s="84"/>
      <c r="G77" s="84"/>
      <c r="H77" s="84"/>
      <c r="I77" s="84"/>
      <c r="J77" s="84"/>
      <c r="K77" s="84"/>
      <c r="L77" s="84"/>
      <c r="M77" s="84"/>
      <c r="N77" s="84"/>
      <c r="O77" s="86"/>
    </row>
    <row r="78" spans="1:15" x14ac:dyDescent="0.25">
      <c r="A78" s="80"/>
      <c r="B78" s="81"/>
      <c r="C78" s="60"/>
      <c r="D78" s="83">
        <f t="shared" si="4"/>
        <v>0</v>
      </c>
      <c r="E78" s="84"/>
      <c r="F78" s="84"/>
      <c r="G78" s="84"/>
      <c r="H78" s="84"/>
      <c r="I78" s="84"/>
      <c r="J78" s="84"/>
      <c r="K78" s="84"/>
      <c r="L78" s="84"/>
      <c r="M78" s="84"/>
      <c r="N78" s="84"/>
      <c r="O78" s="86"/>
    </row>
    <row r="79" spans="1:15" x14ac:dyDescent="0.25">
      <c r="A79" s="80"/>
      <c r="B79" s="81"/>
      <c r="C79" s="60"/>
      <c r="D79" s="83">
        <f t="shared" si="4"/>
        <v>0</v>
      </c>
      <c r="E79" s="84"/>
      <c r="F79" s="84"/>
      <c r="G79" s="84"/>
      <c r="H79" s="84"/>
      <c r="I79" s="84"/>
      <c r="J79" s="84"/>
      <c r="K79" s="84"/>
      <c r="L79" s="84"/>
      <c r="M79" s="84"/>
      <c r="N79" s="84"/>
      <c r="O79" s="86"/>
    </row>
    <row r="80" spans="1:15" x14ac:dyDescent="0.25">
      <c r="A80" s="80"/>
      <c r="B80" s="81"/>
      <c r="C80" s="60"/>
      <c r="D80" s="83">
        <f t="shared" si="4"/>
        <v>0</v>
      </c>
      <c r="E80" s="84"/>
      <c r="F80" s="84"/>
      <c r="G80" s="84"/>
      <c r="H80" s="84"/>
      <c r="I80" s="84"/>
      <c r="J80" s="84"/>
      <c r="K80" s="84"/>
      <c r="L80" s="84"/>
      <c r="M80" s="84"/>
      <c r="N80" s="84"/>
      <c r="O80" s="86"/>
    </row>
    <row r="81" spans="1:15" x14ac:dyDescent="0.25">
      <c r="A81" s="80"/>
      <c r="B81" s="81"/>
      <c r="C81" s="60"/>
      <c r="D81" s="83">
        <f t="shared" si="4"/>
        <v>0</v>
      </c>
      <c r="E81" s="84"/>
      <c r="F81" s="84"/>
      <c r="G81" s="84"/>
      <c r="H81" s="84"/>
      <c r="I81" s="84"/>
      <c r="J81" s="84"/>
      <c r="K81" s="84"/>
      <c r="L81" s="84"/>
      <c r="M81" s="84"/>
      <c r="N81" s="84"/>
      <c r="O81" s="86"/>
    </row>
    <row r="82" spans="1:15" x14ac:dyDescent="0.25">
      <c r="A82" s="80"/>
      <c r="B82" s="81"/>
      <c r="C82" s="60"/>
      <c r="D82" s="83">
        <f t="shared" si="4"/>
        <v>0</v>
      </c>
      <c r="E82" s="84"/>
      <c r="F82" s="84"/>
      <c r="G82" s="84"/>
      <c r="H82" s="84"/>
      <c r="I82" s="84"/>
      <c r="J82" s="84"/>
      <c r="K82" s="84"/>
      <c r="L82" s="84"/>
      <c r="M82" s="84"/>
      <c r="N82" s="84"/>
      <c r="O82" s="86"/>
    </row>
    <row r="83" spans="1:15" x14ac:dyDescent="0.25">
      <c r="A83" s="80"/>
      <c r="B83" s="81"/>
      <c r="C83" s="60"/>
      <c r="D83" s="83">
        <f t="shared" si="4"/>
        <v>0</v>
      </c>
      <c r="E83" s="84"/>
      <c r="F83" s="84"/>
      <c r="G83" s="84"/>
      <c r="H83" s="84"/>
      <c r="I83" s="84"/>
      <c r="J83" s="84"/>
      <c r="K83" s="84"/>
      <c r="L83" s="84"/>
      <c r="M83" s="84"/>
      <c r="N83" s="84"/>
      <c r="O83" s="86"/>
    </row>
    <row r="84" spans="1:15" x14ac:dyDescent="0.25">
      <c r="A84" s="80"/>
      <c r="B84" s="81"/>
      <c r="C84" s="60"/>
      <c r="D84" s="83">
        <f t="shared" si="4"/>
        <v>0</v>
      </c>
      <c r="E84" s="84"/>
      <c r="F84" s="84"/>
      <c r="G84" s="84"/>
      <c r="H84" s="84"/>
      <c r="I84" s="84"/>
      <c r="J84" s="84"/>
      <c r="K84" s="84"/>
      <c r="L84" s="84"/>
      <c r="M84" s="84"/>
      <c r="N84" s="84"/>
      <c r="O84" s="86"/>
    </row>
    <row r="85" spans="1:15" x14ac:dyDescent="0.25">
      <c r="A85" s="80"/>
      <c r="B85" s="81"/>
      <c r="C85" s="60"/>
      <c r="D85" s="83">
        <f t="shared" si="4"/>
        <v>0</v>
      </c>
      <c r="E85" s="84"/>
      <c r="F85" s="84"/>
      <c r="G85" s="84"/>
      <c r="H85" s="84"/>
      <c r="I85" s="84"/>
      <c r="J85" s="84"/>
      <c r="K85" s="84"/>
      <c r="L85" s="84"/>
      <c r="M85" s="84"/>
      <c r="N85" s="84"/>
      <c r="O85" s="86"/>
    </row>
    <row r="86" spans="1:15" x14ac:dyDescent="0.25">
      <c r="A86" s="135"/>
      <c r="B86" s="81"/>
      <c r="C86" s="60"/>
      <c r="D86" s="83">
        <f t="shared" si="4"/>
        <v>0</v>
      </c>
      <c r="E86" s="84"/>
      <c r="F86" s="84"/>
      <c r="G86" s="84"/>
      <c r="H86" s="84"/>
      <c r="I86" s="84"/>
      <c r="J86" s="84"/>
      <c r="K86" s="84"/>
      <c r="L86" s="84"/>
      <c r="M86" s="84"/>
      <c r="N86" s="84"/>
      <c r="O86" s="86"/>
    </row>
    <row r="87" spans="1:15" ht="13.8" thickBot="1" x14ac:dyDescent="0.3">
      <c r="A87" s="80"/>
      <c r="B87" s="81"/>
      <c r="C87" s="60"/>
      <c r="D87" s="83"/>
      <c r="E87" s="84" t="s">
        <v>11</v>
      </c>
      <c r="F87" s="84"/>
      <c r="G87" s="84"/>
      <c r="H87" s="84"/>
      <c r="I87" s="84"/>
      <c r="J87" s="84"/>
      <c r="K87" s="84"/>
      <c r="L87" s="84"/>
      <c r="M87" s="84"/>
      <c r="N87" s="84"/>
      <c r="O87" s="86"/>
    </row>
    <row r="88" spans="1:15" ht="16.2" thickBot="1" x14ac:dyDescent="0.3">
      <c r="A88" s="87"/>
      <c r="B88" s="88"/>
      <c r="C88" s="89" t="s">
        <v>17</v>
      </c>
      <c r="D88" s="90">
        <f t="shared" ref="D88:J88" si="5">SUM(D73:D87)</f>
        <v>0</v>
      </c>
      <c r="E88" s="91">
        <f t="shared" si="5"/>
        <v>0</v>
      </c>
      <c r="F88" s="91">
        <f t="shared" si="5"/>
        <v>0</v>
      </c>
      <c r="G88" s="91">
        <f t="shared" si="5"/>
        <v>0</v>
      </c>
      <c r="H88" s="91">
        <f t="shared" si="5"/>
        <v>0</v>
      </c>
      <c r="I88" s="91">
        <f t="shared" si="5"/>
        <v>0</v>
      </c>
      <c r="J88" s="91">
        <f t="shared" si="5"/>
        <v>0</v>
      </c>
      <c r="K88" s="91">
        <f>SUM(K73:K87)</f>
        <v>0</v>
      </c>
      <c r="L88" s="91">
        <f>SUM(L73:L87)</f>
        <v>0</v>
      </c>
      <c r="M88" s="91">
        <f>SUM(M73:M87)</f>
        <v>0</v>
      </c>
      <c r="N88" s="91">
        <f>SUM(N73:N87)</f>
        <v>0</v>
      </c>
      <c r="O88" s="92">
        <f>SUM(O73:O87)</f>
        <v>0</v>
      </c>
    </row>
    <row r="89" spans="1:15" ht="15.6" x14ac:dyDescent="0.25">
      <c r="A89" s="87"/>
      <c r="B89" s="93"/>
      <c r="C89" s="93"/>
      <c r="D89" s="93"/>
      <c r="E89" s="93"/>
      <c r="F89" s="93"/>
      <c r="G89" s="93"/>
      <c r="H89" s="93"/>
      <c r="I89" s="93"/>
      <c r="J89" s="93"/>
      <c r="K89" s="93"/>
      <c r="L89" s="93"/>
      <c r="M89" s="93"/>
      <c r="N89" s="93"/>
      <c r="O89" s="136" t="s">
        <v>41</v>
      </c>
    </row>
    <row r="90" spans="1:15" ht="16.2" thickBot="1" x14ac:dyDescent="0.3">
      <c r="A90" s="97"/>
      <c r="B90" s="72"/>
      <c r="C90" s="72" t="s">
        <v>71</v>
      </c>
      <c r="D90" s="98">
        <f>SUM(E88:O88)-D88</f>
        <v>0</v>
      </c>
      <c r="E90" s="253" t="str">
        <f>IF(D90=0,"","ERROR - figures do not add across")</f>
        <v/>
      </c>
      <c r="F90" s="72"/>
      <c r="G90" s="72"/>
      <c r="H90" s="72"/>
      <c r="I90" s="72"/>
      <c r="J90" s="72"/>
      <c r="K90" s="72"/>
      <c r="L90" s="72"/>
      <c r="M90" s="72"/>
      <c r="N90" s="72"/>
      <c r="O90" s="137"/>
    </row>
  </sheetData>
  <customSheetViews>
    <customSheetView guid="{93A5533C-1BF0-4CFD-B527-DBAD1AD08F71}" fitToPage="1" showRuler="0">
      <selection activeCell="B13" sqref="B13"/>
      <pageMargins left="0.59055118110236227" right="0.15748031496062992" top="0.59055118110236227" bottom="0.59055118110236227" header="0.31496062992125984" footer="0.31496062992125984"/>
      <printOptions horizontalCentered="1"/>
      <pageSetup paperSize="9" scale="58" orientation="portrait" r:id="rId1"/>
      <headerFooter alignWithMargins="0">
        <oddHeader>&amp;C&amp;A</oddHeader>
        <oddFooter>&amp;L&amp;F&amp;CPage &amp;P&amp;R&amp;D</oddFooter>
      </headerFooter>
    </customSheetView>
  </customSheetViews>
  <phoneticPr fontId="0" type="noConversion"/>
  <printOptions horizontalCentered="1"/>
  <pageMargins left="0.59055118110236227" right="0.39370078740157483" top="0.59055118110236227" bottom="0.59055118110236227" header="0.31496062992125984" footer="0.31496062992125984"/>
  <pageSetup paperSize="9" scale="59" orientation="portrait" r:id="rId2"/>
  <headerFooter alignWithMargins="0">
    <oddHeader>&amp;C&amp;A</oddHeader>
    <oddFooter>&amp;L&amp;Z&amp;F &amp;A&amp;CPage &amp;P&amp;R&amp;D  &amp;T</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O90"/>
  <sheetViews>
    <sheetView zoomScale="85" workbookViewId="0">
      <selection activeCell="A7" sqref="A7"/>
    </sheetView>
  </sheetViews>
  <sheetFormatPr defaultColWidth="9.109375" defaultRowHeight="13.2" x14ac:dyDescent="0.25"/>
  <cols>
    <col min="1" max="1" width="10" style="66" customWidth="1"/>
    <col min="2" max="2" width="4.5546875" style="66" customWidth="1"/>
    <col min="3" max="3" width="25.6640625" style="66" customWidth="1"/>
    <col min="4" max="4" width="10.109375" style="66" customWidth="1"/>
    <col min="5" max="5" width="10" style="66" bestFit="1" customWidth="1"/>
    <col min="6" max="6" width="12.5546875" style="66" bestFit="1" customWidth="1"/>
    <col min="7" max="7" width="9.88671875" style="66" bestFit="1" customWidth="1"/>
    <col min="8" max="8" width="11.44140625" style="66" bestFit="1" customWidth="1"/>
    <col min="9" max="9" width="10.88671875" style="66" bestFit="1" customWidth="1"/>
    <col min="10" max="10" width="10.6640625" style="66" bestFit="1" customWidth="1"/>
    <col min="11" max="11" width="9.109375" style="66"/>
    <col min="12" max="12" width="7.109375" style="66" customWidth="1"/>
    <col min="13" max="13" width="8.88671875" style="66" customWidth="1"/>
    <col min="14" max="14" width="9.88671875" style="66" bestFit="1" customWidth="1"/>
    <col min="15" max="15" width="9.5546875" style="66" bestFit="1" customWidth="1"/>
    <col min="16" max="16384" width="9.109375" style="66"/>
  </cols>
  <sheetData>
    <row r="1" spans="1:15" ht="16.2" thickBot="1" x14ac:dyDescent="0.3">
      <c r="A1" s="63" t="str">
        <f>'Company Info'!B5</f>
        <v>ABC Limited</v>
      </c>
      <c r="B1" s="64"/>
      <c r="C1" s="64"/>
      <c r="D1" s="65"/>
    </row>
    <row r="2" spans="1:15" ht="13.8" thickBot="1" x14ac:dyDescent="0.3"/>
    <row r="3" spans="1:15" ht="18" thickBot="1" x14ac:dyDescent="0.3">
      <c r="A3" s="67" t="s">
        <v>9</v>
      </c>
      <c r="B3" s="61"/>
      <c r="C3" s="61"/>
      <c r="D3" s="68"/>
      <c r="E3" s="68"/>
      <c r="F3" s="68"/>
      <c r="G3" s="68"/>
      <c r="H3" s="68"/>
      <c r="I3" s="68"/>
      <c r="J3" s="68"/>
      <c r="K3" s="68"/>
      <c r="L3" s="68"/>
      <c r="M3" s="68"/>
      <c r="N3" s="239" t="s">
        <v>10</v>
      </c>
      <c r="O3" s="70">
        <f>'Month 5'!O3-31</f>
        <v>40751</v>
      </c>
    </row>
    <row r="4" spans="1:15" ht="13.8" thickBot="1" x14ac:dyDescent="0.3">
      <c r="A4" s="71"/>
      <c r="B4" s="68"/>
      <c r="C4" s="68"/>
      <c r="D4" s="72"/>
      <c r="E4" s="72"/>
      <c r="F4" s="72"/>
      <c r="G4" s="72"/>
      <c r="H4" s="72"/>
      <c r="N4" s="68"/>
      <c r="O4" s="73"/>
    </row>
    <row r="5" spans="1:15" s="79" customFormat="1" ht="26.25" customHeight="1" thickBot="1" x14ac:dyDescent="0.3">
      <c r="A5" s="74" t="s">
        <v>12</v>
      </c>
      <c r="B5" s="75" t="s">
        <v>130</v>
      </c>
      <c r="C5" s="76" t="s">
        <v>123</v>
      </c>
      <c r="D5" s="75" t="s">
        <v>13</v>
      </c>
      <c r="E5" s="77" t="str">
        <f>'Month 3'!E5</f>
        <v>Net Sales</v>
      </c>
      <c r="F5" s="77" t="str">
        <f>'Month 3'!F5</f>
        <v>Expenses Reimbursed</v>
      </c>
      <c r="G5" s="77" t="str">
        <f>'Month 3'!G5</f>
        <v>VAT</v>
      </c>
      <c r="H5" s="77" t="str">
        <f>'Month 3'!H5</f>
        <v>Interest Received</v>
      </c>
      <c r="I5" s="77" t="str">
        <f>'Month 3'!I5</f>
        <v>Tax Refunds</v>
      </c>
      <c r="J5" s="77" t="str">
        <f>'Month 3'!J5</f>
        <v>Company Dep A/C</v>
      </c>
      <c r="K5" s="77">
        <f>'Month 3'!K5</f>
        <v>0</v>
      </c>
      <c r="L5" s="77">
        <f>'Month 3'!L5</f>
        <v>0</v>
      </c>
      <c r="M5" s="77">
        <f>'Month 3'!M5</f>
        <v>0</v>
      </c>
      <c r="N5" s="77">
        <f>'Month 3'!N5</f>
        <v>0</v>
      </c>
      <c r="O5" s="78" t="str">
        <f>'Month 3'!O5</f>
        <v>Sundries</v>
      </c>
    </row>
    <row r="6" spans="1:15" x14ac:dyDescent="0.25">
      <c r="A6" s="80"/>
      <c r="B6" s="81"/>
      <c r="C6" s="60"/>
      <c r="D6" s="83">
        <f t="shared" ref="D6:D17" si="0">SUM(E6:O6)</f>
        <v>0</v>
      </c>
      <c r="E6" s="84"/>
      <c r="F6" s="84"/>
      <c r="G6" s="84"/>
      <c r="H6" s="84"/>
      <c r="I6" s="84"/>
      <c r="J6" s="84"/>
      <c r="K6" s="84"/>
      <c r="L6" s="84"/>
      <c r="M6" s="84"/>
      <c r="N6" s="84"/>
      <c r="O6" s="86"/>
    </row>
    <row r="7" spans="1:15" x14ac:dyDescent="0.25">
      <c r="A7" s="80"/>
      <c r="B7" s="81"/>
      <c r="C7" s="60"/>
      <c r="D7" s="83">
        <f t="shared" si="0"/>
        <v>0</v>
      </c>
      <c r="E7" s="84"/>
      <c r="F7" s="84"/>
      <c r="G7" s="84"/>
      <c r="H7" s="84"/>
      <c r="I7" s="84"/>
      <c r="J7" s="84"/>
      <c r="K7" s="84"/>
      <c r="L7" s="84"/>
      <c r="M7" s="84"/>
      <c r="N7" s="84"/>
      <c r="O7" s="86"/>
    </row>
    <row r="8" spans="1:15" x14ac:dyDescent="0.25">
      <c r="A8" s="80"/>
      <c r="B8" s="81"/>
      <c r="C8" s="60"/>
      <c r="D8" s="83">
        <f t="shared" si="0"/>
        <v>0</v>
      </c>
      <c r="E8" s="84"/>
      <c r="F8" s="84"/>
      <c r="G8" s="84"/>
      <c r="H8" s="84"/>
      <c r="I8" s="84"/>
      <c r="J8" s="84"/>
      <c r="K8" s="84"/>
      <c r="L8" s="84"/>
      <c r="M8" s="84"/>
      <c r="N8" s="84"/>
      <c r="O8" s="86"/>
    </row>
    <row r="9" spans="1:15" x14ac:dyDescent="0.25">
      <c r="A9" s="80"/>
      <c r="B9" s="81"/>
      <c r="C9" s="60"/>
      <c r="D9" s="83">
        <f t="shared" si="0"/>
        <v>0</v>
      </c>
      <c r="E9" s="84"/>
      <c r="F9" s="84"/>
      <c r="G9" s="84"/>
      <c r="H9" s="84"/>
      <c r="I9" s="84"/>
      <c r="J9" s="84"/>
      <c r="K9" s="84"/>
      <c r="L9" s="84"/>
      <c r="M9" s="84"/>
      <c r="N9" s="84"/>
      <c r="O9" s="86"/>
    </row>
    <row r="10" spans="1:15" x14ac:dyDescent="0.25">
      <c r="A10" s="80"/>
      <c r="B10" s="81"/>
      <c r="C10" s="60"/>
      <c r="D10" s="83">
        <f t="shared" si="0"/>
        <v>0</v>
      </c>
      <c r="E10" s="84"/>
      <c r="F10" s="84"/>
      <c r="G10" s="84"/>
      <c r="H10" s="84"/>
      <c r="I10" s="84"/>
      <c r="J10" s="84"/>
      <c r="K10" s="84"/>
      <c r="L10" s="84"/>
      <c r="M10" s="84"/>
      <c r="N10" s="84"/>
      <c r="O10" s="86"/>
    </row>
    <row r="11" spans="1:15" x14ac:dyDescent="0.25">
      <c r="A11" s="80"/>
      <c r="B11" s="81"/>
      <c r="C11" s="60"/>
      <c r="D11" s="83">
        <f t="shared" si="0"/>
        <v>0</v>
      </c>
      <c r="E11" s="84"/>
      <c r="F11" s="84"/>
      <c r="G11" s="84"/>
      <c r="H11" s="84"/>
      <c r="I11" s="84"/>
      <c r="J11" s="84"/>
      <c r="K11" s="84"/>
      <c r="L11" s="84"/>
      <c r="M11" s="84"/>
      <c r="N11" s="84"/>
      <c r="O11" s="86"/>
    </row>
    <row r="12" spans="1:15" x14ac:dyDescent="0.25">
      <c r="A12" s="80"/>
      <c r="B12" s="81"/>
      <c r="C12" s="60"/>
      <c r="D12" s="83">
        <f t="shared" si="0"/>
        <v>0</v>
      </c>
      <c r="E12" s="84"/>
      <c r="F12" s="84"/>
      <c r="G12" s="84"/>
      <c r="H12" s="84"/>
      <c r="I12" s="84"/>
      <c r="J12" s="84"/>
      <c r="K12" s="84"/>
      <c r="L12" s="84"/>
      <c r="M12" s="84"/>
      <c r="N12" s="84"/>
      <c r="O12" s="86"/>
    </row>
    <row r="13" spans="1:15" x14ac:dyDescent="0.25">
      <c r="A13" s="80"/>
      <c r="B13" s="81"/>
      <c r="C13" s="60"/>
      <c r="D13" s="83">
        <f t="shared" si="0"/>
        <v>0</v>
      </c>
      <c r="E13" s="84"/>
      <c r="F13" s="84"/>
      <c r="G13" s="84"/>
      <c r="H13" s="84"/>
      <c r="I13" s="84"/>
      <c r="J13" s="84"/>
      <c r="K13" s="84"/>
      <c r="L13" s="84"/>
      <c r="M13" s="84"/>
      <c r="N13" s="84"/>
      <c r="O13" s="86"/>
    </row>
    <row r="14" spans="1:15" x14ac:dyDescent="0.25">
      <c r="A14" s="80"/>
      <c r="B14" s="81"/>
      <c r="C14" s="60"/>
      <c r="D14" s="83">
        <f t="shared" si="0"/>
        <v>0</v>
      </c>
      <c r="E14" s="84"/>
      <c r="F14" s="84"/>
      <c r="G14" s="84"/>
      <c r="H14" s="84"/>
      <c r="I14" s="84"/>
      <c r="J14" s="84"/>
      <c r="K14" s="84"/>
      <c r="L14" s="84"/>
      <c r="M14" s="84"/>
      <c r="N14" s="84"/>
      <c r="O14" s="86"/>
    </row>
    <row r="15" spans="1:15" x14ac:dyDescent="0.25">
      <c r="A15" s="80"/>
      <c r="B15" s="81"/>
      <c r="C15" s="60"/>
      <c r="D15" s="83">
        <f t="shared" si="0"/>
        <v>0</v>
      </c>
      <c r="E15" s="84"/>
      <c r="F15" s="84"/>
      <c r="G15" s="84"/>
      <c r="H15" s="84"/>
      <c r="I15" s="84"/>
      <c r="J15" s="84"/>
      <c r="K15" s="84"/>
      <c r="L15" s="84"/>
      <c r="M15" s="84"/>
      <c r="N15" s="84"/>
      <c r="O15" s="86"/>
    </row>
    <row r="16" spans="1:15" x14ac:dyDescent="0.25">
      <c r="A16" s="80"/>
      <c r="B16" s="81"/>
      <c r="C16" s="60"/>
      <c r="D16" s="83">
        <f t="shared" si="0"/>
        <v>0</v>
      </c>
      <c r="E16" s="84"/>
      <c r="F16" s="84"/>
      <c r="G16" s="84"/>
      <c r="H16" s="84"/>
      <c r="I16" s="84"/>
      <c r="J16" s="84"/>
      <c r="K16" s="84"/>
      <c r="L16" s="84"/>
      <c r="M16" s="84"/>
      <c r="N16" s="84"/>
      <c r="O16" s="86"/>
    </row>
    <row r="17" spans="1:15" x14ac:dyDescent="0.25">
      <c r="A17" s="80"/>
      <c r="B17" s="81"/>
      <c r="C17" s="60"/>
      <c r="D17" s="83">
        <f t="shared" si="0"/>
        <v>0</v>
      </c>
      <c r="E17" s="84"/>
      <c r="F17" s="84"/>
      <c r="G17" s="84"/>
      <c r="H17" s="84"/>
      <c r="I17" s="84"/>
      <c r="J17" s="84"/>
      <c r="K17" s="84"/>
      <c r="L17" s="84"/>
      <c r="M17" s="84"/>
      <c r="N17" s="84"/>
      <c r="O17" s="86"/>
    </row>
    <row r="18" spans="1:15" ht="13.8" thickBot="1" x14ac:dyDescent="0.3">
      <c r="A18" s="238"/>
      <c r="B18" s="81"/>
      <c r="C18" s="60"/>
      <c r="D18" s="83"/>
      <c r="E18" s="84"/>
      <c r="F18" s="84"/>
      <c r="G18" s="84"/>
      <c r="H18" s="84"/>
      <c r="I18" s="19"/>
      <c r="J18" s="19"/>
      <c r="K18" s="19"/>
      <c r="L18" s="19"/>
      <c r="M18" s="19"/>
      <c r="N18" s="85"/>
      <c r="O18" s="86"/>
    </row>
    <row r="19" spans="1:15" ht="16.2" thickBot="1" x14ac:dyDescent="0.3">
      <c r="A19" s="87"/>
      <c r="B19" s="88"/>
      <c r="C19" s="89" t="s">
        <v>17</v>
      </c>
      <c r="D19" s="90">
        <f t="shared" ref="D19:O19" si="1">SUM(D6:D18)</f>
        <v>0</v>
      </c>
      <c r="E19" s="91">
        <f t="shared" si="1"/>
        <v>0</v>
      </c>
      <c r="F19" s="91">
        <f t="shared" si="1"/>
        <v>0</v>
      </c>
      <c r="G19" s="91">
        <f t="shared" si="1"/>
        <v>0</v>
      </c>
      <c r="H19" s="91">
        <f t="shared" si="1"/>
        <v>0</v>
      </c>
      <c r="I19" s="91">
        <f t="shared" si="1"/>
        <v>0</v>
      </c>
      <c r="J19" s="91">
        <f t="shared" si="1"/>
        <v>0</v>
      </c>
      <c r="K19" s="91">
        <f t="shared" si="1"/>
        <v>0</v>
      </c>
      <c r="L19" s="91">
        <f t="shared" si="1"/>
        <v>0</v>
      </c>
      <c r="M19" s="91">
        <f t="shared" si="1"/>
        <v>0</v>
      </c>
      <c r="N19" s="91">
        <f t="shared" si="1"/>
        <v>0</v>
      </c>
      <c r="O19" s="92">
        <f t="shared" si="1"/>
        <v>0</v>
      </c>
    </row>
    <row r="20" spans="1:15" ht="12.75" customHeight="1" x14ac:dyDescent="0.25">
      <c r="A20" s="87"/>
      <c r="B20" s="93"/>
      <c r="C20" s="93"/>
      <c r="D20" s="236" t="s">
        <v>18</v>
      </c>
      <c r="E20" s="236" t="s">
        <v>19</v>
      </c>
      <c r="F20" s="236" t="s">
        <v>19</v>
      </c>
      <c r="G20" s="237" t="s">
        <v>20</v>
      </c>
      <c r="H20" s="93"/>
      <c r="N20" s="93"/>
      <c r="O20" s="103"/>
    </row>
    <row r="21" spans="1:15" ht="13.8" thickBot="1" x14ac:dyDescent="0.3">
      <c r="A21" s="97"/>
      <c r="B21" s="72"/>
      <c r="C21" s="72" t="s">
        <v>71</v>
      </c>
      <c r="D21" s="98">
        <f>SUM(E19:O19)-D19</f>
        <v>0</v>
      </c>
      <c r="E21" s="253" t="str">
        <f>IF(D21=0,"","ERROR - figures do not add across")</f>
        <v/>
      </c>
      <c r="F21" s="72"/>
      <c r="G21" s="72"/>
      <c r="H21" s="72"/>
      <c r="I21" s="72"/>
      <c r="J21" s="72"/>
      <c r="K21" s="72"/>
      <c r="L21" s="72"/>
      <c r="M21" s="72"/>
      <c r="N21" s="72"/>
      <c r="O21" s="99"/>
    </row>
    <row r="23" spans="1:15" ht="13.8" thickBot="1" x14ac:dyDescent="0.3"/>
    <row r="24" spans="1:15" ht="18" thickBot="1" x14ac:dyDescent="0.3">
      <c r="A24" s="100" t="s">
        <v>21</v>
      </c>
      <c r="B24" s="101"/>
      <c r="C24" s="61"/>
      <c r="D24" s="68"/>
      <c r="E24" s="68"/>
      <c r="F24" s="68"/>
      <c r="G24" s="68"/>
      <c r="H24" s="68"/>
      <c r="I24" s="68"/>
      <c r="J24" s="68"/>
      <c r="K24" s="68"/>
      <c r="L24" s="68"/>
      <c r="M24" s="68"/>
      <c r="N24" s="239" t="s">
        <v>10</v>
      </c>
      <c r="O24" s="70">
        <f>O3</f>
        <v>40751</v>
      </c>
    </row>
    <row r="25" spans="1:15" ht="13.8" thickBot="1" x14ac:dyDescent="0.3">
      <c r="A25" s="102"/>
      <c r="B25" s="93"/>
      <c r="C25" s="93"/>
      <c r="D25" s="93"/>
      <c r="E25" s="93"/>
      <c r="F25" s="93"/>
      <c r="G25" s="93"/>
      <c r="H25" s="93"/>
      <c r="I25" s="93"/>
      <c r="J25" s="93"/>
      <c r="K25" s="93"/>
      <c r="L25" s="93"/>
      <c r="M25" s="93"/>
      <c r="N25" s="93"/>
      <c r="O25" s="103"/>
    </row>
    <row r="26" spans="1:15" s="79" customFormat="1" ht="27" customHeight="1" thickBot="1" x14ac:dyDescent="0.3">
      <c r="A26" s="104" t="s">
        <v>12</v>
      </c>
      <c r="B26" s="75" t="s">
        <v>68</v>
      </c>
      <c r="C26" s="105" t="s">
        <v>123</v>
      </c>
      <c r="D26" s="106" t="s">
        <v>63</v>
      </c>
      <c r="E26" s="107" t="str">
        <f>'Month 3'!E26</f>
        <v>PAYE/NI</v>
      </c>
      <c r="F26" s="107" t="str">
        <f>'Month 3'!F26</f>
        <v>Net Wages</v>
      </c>
      <c r="G26" s="107" t="str">
        <f>'Month 3'!G26</f>
        <v>Dividends</v>
      </c>
      <c r="H26" s="107" t="str">
        <f>'Month 3'!H26</f>
        <v>Company Dep A/C</v>
      </c>
      <c r="I26" s="107" t="str">
        <f>'Month 3'!I26</f>
        <v>Company Pension</v>
      </c>
      <c r="J26" s="107" t="str">
        <f>'Month 3'!J26</f>
        <v>Motor &amp; Travel</v>
      </c>
      <c r="K26" s="107" t="str">
        <f>'Month 3'!K26</f>
        <v>Standing Orders</v>
      </c>
      <c r="L26" s="107" t="str">
        <f>'Month 3'!L26</f>
        <v>Petty Cash</v>
      </c>
      <c r="M26" s="107" t="s">
        <v>143</v>
      </c>
      <c r="N26" s="107" t="str">
        <f>'Month 3'!N26</f>
        <v>Sundries</v>
      </c>
      <c r="O26" s="78" t="s">
        <v>142</v>
      </c>
    </row>
    <row r="27" spans="1:15" x14ac:dyDescent="0.25">
      <c r="A27" s="80"/>
      <c r="B27" s="81"/>
      <c r="C27" s="60"/>
      <c r="D27" s="83">
        <f t="shared" ref="D27:D40" si="2">SUM(E27:O27)</f>
        <v>0</v>
      </c>
      <c r="E27" s="84"/>
      <c r="F27" s="84"/>
      <c r="G27" s="84"/>
      <c r="H27" s="84"/>
      <c r="I27" s="84"/>
      <c r="J27" s="84"/>
      <c r="K27" s="84"/>
      <c r="L27" s="84"/>
      <c r="M27" s="84"/>
      <c r="N27" s="84"/>
      <c r="O27" s="86"/>
    </row>
    <row r="28" spans="1:15" x14ac:dyDescent="0.25">
      <c r="A28" s="80"/>
      <c r="B28" s="81"/>
      <c r="C28" s="60"/>
      <c r="D28" s="83">
        <f t="shared" si="2"/>
        <v>0</v>
      </c>
      <c r="E28" s="84"/>
      <c r="F28" s="84"/>
      <c r="G28" s="84"/>
      <c r="H28" s="84"/>
      <c r="I28" s="84"/>
      <c r="J28" s="84"/>
      <c r="K28" s="84"/>
      <c r="L28" s="84"/>
      <c r="M28" s="84"/>
      <c r="N28" s="84"/>
      <c r="O28" s="86"/>
    </row>
    <row r="29" spans="1:15" x14ac:dyDescent="0.25">
      <c r="A29" s="80"/>
      <c r="B29" s="81"/>
      <c r="C29" s="60"/>
      <c r="D29" s="83">
        <f t="shared" si="2"/>
        <v>0</v>
      </c>
      <c r="E29" s="84"/>
      <c r="F29" s="84"/>
      <c r="G29" s="84"/>
      <c r="H29" s="84"/>
      <c r="I29" s="84"/>
      <c r="J29" s="84"/>
      <c r="K29" s="84"/>
      <c r="L29" s="84"/>
      <c r="M29" s="84"/>
      <c r="N29" s="84"/>
      <c r="O29" s="86"/>
    </row>
    <row r="30" spans="1:15" x14ac:dyDescent="0.25">
      <c r="A30" s="80"/>
      <c r="B30" s="81"/>
      <c r="C30" s="60"/>
      <c r="D30" s="83">
        <f t="shared" si="2"/>
        <v>0</v>
      </c>
      <c r="E30" s="84"/>
      <c r="F30" s="84"/>
      <c r="G30" s="84"/>
      <c r="H30" s="84"/>
      <c r="I30" s="84"/>
      <c r="J30" s="84"/>
      <c r="K30" s="84"/>
      <c r="L30" s="84"/>
      <c r="M30" s="84"/>
      <c r="N30" s="84"/>
      <c r="O30" s="86"/>
    </row>
    <row r="31" spans="1:15" x14ac:dyDescent="0.25">
      <c r="A31" s="80"/>
      <c r="B31" s="81"/>
      <c r="C31" s="60"/>
      <c r="D31" s="83">
        <f t="shared" si="2"/>
        <v>0</v>
      </c>
      <c r="E31" s="84"/>
      <c r="F31" s="84"/>
      <c r="G31" s="84"/>
      <c r="H31" s="84"/>
      <c r="I31" s="84"/>
      <c r="J31" s="84"/>
      <c r="K31" s="84"/>
      <c r="L31" s="84"/>
      <c r="M31" s="84"/>
      <c r="N31" s="84"/>
      <c r="O31" s="86"/>
    </row>
    <row r="32" spans="1:15" x14ac:dyDescent="0.25">
      <c r="A32" s="80"/>
      <c r="B32" s="81"/>
      <c r="C32" s="60"/>
      <c r="D32" s="83">
        <f t="shared" si="2"/>
        <v>0</v>
      </c>
      <c r="E32" s="84"/>
      <c r="F32" s="84"/>
      <c r="G32" s="84"/>
      <c r="H32" s="84"/>
      <c r="I32" s="84"/>
      <c r="J32" s="84"/>
      <c r="K32" s="84"/>
      <c r="L32" s="84"/>
      <c r="M32" s="84"/>
      <c r="N32" s="84"/>
      <c r="O32" s="86"/>
    </row>
    <row r="33" spans="1:15" x14ac:dyDescent="0.25">
      <c r="A33" s="80"/>
      <c r="B33" s="81"/>
      <c r="C33" s="60"/>
      <c r="D33" s="83">
        <f t="shared" si="2"/>
        <v>0</v>
      </c>
      <c r="E33" s="84"/>
      <c r="F33" s="84"/>
      <c r="G33" s="84"/>
      <c r="H33" s="84"/>
      <c r="I33" s="84"/>
      <c r="J33" s="84"/>
      <c r="K33" s="84"/>
      <c r="L33" s="84"/>
      <c r="M33" s="84"/>
      <c r="N33" s="84"/>
      <c r="O33" s="86"/>
    </row>
    <row r="34" spans="1:15" x14ac:dyDescent="0.25">
      <c r="A34" s="80"/>
      <c r="B34" s="81"/>
      <c r="C34" s="60"/>
      <c r="D34" s="83">
        <f t="shared" si="2"/>
        <v>0</v>
      </c>
      <c r="E34" s="84"/>
      <c r="F34" s="84"/>
      <c r="G34" s="84"/>
      <c r="H34" s="84"/>
      <c r="I34" s="84"/>
      <c r="J34" s="84"/>
      <c r="K34" s="84"/>
      <c r="L34" s="84"/>
      <c r="M34" s="84"/>
      <c r="N34" s="84"/>
      <c r="O34" s="86"/>
    </row>
    <row r="35" spans="1:15" x14ac:dyDescent="0.25">
      <c r="A35" s="80"/>
      <c r="B35" s="81"/>
      <c r="C35" s="60"/>
      <c r="D35" s="83">
        <f t="shared" si="2"/>
        <v>0</v>
      </c>
      <c r="E35" s="84"/>
      <c r="F35" s="84"/>
      <c r="G35" s="84"/>
      <c r="H35" s="84"/>
      <c r="I35" s="84"/>
      <c r="J35" s="84"/>
      <c r="K35" s="84"/>
      <c r="L35" s="84"/>
      <c r="M35" s="84"/>
      <c r="N35" s="84"/>
      <c r="O35" s="86"/>
    </row>
    <row r="36" spans="1:15" x14ac:dyDescent="0.25">
      <c r="A36" s="80"/>
      <c r="B36" s="81"/>
      <c r="C36" s="60"/>
      <c r="D36" s="83">
        <f t="shared" si="2"/>
        <v>0</v>
      </c>
      <c r="E36" s="84"/>
      <c r="F36" s="84"/>
      <c r="G36" s="84"/>
      <c r="H36" s="84"/>
      <c r="I36" s="84"/>
      <c r="J36" s="84"/>
      <c r="K36" s="84"/>
      <c r="L36" s="84"/>
      <c r="M36" s="84"/>
      <c r="N36" s="84"/>
      <c r="O36" s="86"/>
    </row>
    <row r="37" spans="1:15" x14ac:dyDescent="0.25">
      <c r="A37" s="80"/>
      <c r="B37" s="81"/>
      <c r="C37" s="60"/>
      <c r="D37" s="83">
        <f t="shared" si="2"/>
        <v>0</v>
      </c>
      <c r="E37" s="84"/>
      <c r="F37" s="84"/>
      <c r="G37" s="84"/>
      <c r="H37" s="84"/>
      <c r="I37" s="84"/>
      <c r="J37" s="84"/>
      <c r="K37" s="84"/>
      <c r="L37" s="84"/>
      <c r="M37" s="84"/>
      <c r="N37" s="84"/>
      <c r="O37" s="86"/>
    </row>
    <row r="38" spans="1:15" x14ac:dyDescent="0.25">
      <c r="A38" s="80"/>
      <c r="B38" s="81"/>
      <c r="C38" s="60"/>
      <c r="D38" s="83">
        <f t="shared" si="2"/>
        <v>0</v>
      </c>
      <c r="E38" s="84"/>
      <c r="F38" s="84"/>
      <c r="G38" s="84"/>
      <c r="H38" s="84"/>
      <c r="I38" s="84"/>
      <c r="J38" s="84"/>
      <c r="K38" s="84"/>
      <c r="L38" s="84"/>
      <c r="M38" s="84"/>
      <c r="N38" s="84"/>
      <c r="O38" s="86"/>
    </row>
    <row r="39" spans="1:15" x14ac:dyDescent="0.25">
      <c r="A39" s="80"/>
      <c r="B39" s="81"/>
      <c r="C39" s="60"/>
      <c r="D39" s="83">
        <f t="shared" si="2"/>
        <v>0</v>
      </c>
      <c r="E39" s="84"/>
      <c r="F39" s="84"/>
      <c r="G39" s="84"/>
      <c r="H39" s="84"/>
      <c r="I39" s="84"/>
      <c r="J39" s="84"/>
      <c r="K39" s="84"/>
      <c r="L39" s="84"/>
      <c r="M39" s="84"/>
      <c r="N39" s="84"/>
      <c r="O39" s="86"/>
    </row>
    <row r="40" spans="1:15" x14ac:dyDescent="0.25">
      <c r="A40" s="80"/>
      <c r="B40" s="81"/>
      <c r="C40" s="60"/>
      <c r="D40" s="83">
        <f t="shared" si="2"/>
        <v>0</v>
      </c>
      <c r="E40" s="84"/>
      <c r="F40" s="84"/>
      <c r="G40" s="84"/>
      <c r="H40" s="84"/>
      <c r="I40" s="84"/>
      <c r="J40" s="84"/>
      <c r="K40" s="84"/>
      <c r="L40" s="84"/>
      <c r="M40" s="84"/>
      <c r="N40" s="84"/>
      <c r="O40" s="86"/>
    </row>
    <row r="41" spans="1:15" ht="13.8" thickBot="1" x14ac:dyDescent="0.3">
      <c r="A41" s="80"/>
      <c r="B41" s="81"/>
      <c r="C41" s="60"/>
      <c r="D41" s="83"/>
      <c r="E41" s="84"/>
      <c r="F41" s="84"/>
      <c r="G41" s="84"/>
      <c r="H41" s="84"/>
      <c r="I41" s="84"/>
      <c r="J41" s="84"/>
      <c r="K41" s="84"/>
      <c r="L41" s="84"/>
      <c r="M41" s="84"/>
      <c r="N41" s="84"/>
      <c r="O41" s="86"/>
    </row>
    <row r="42" spans="1:15" ht="16.2" thickBot="1" x14ac:dyDescent="0.3">
      <c r="A42" s="87"/>
      <c r="B42" s="88"/>
      <c r="C42" s="89" t="s">
        <v>17</v>
      </c>
      <c r="D42" s="90">
        <f t="shared" ref="D42:O42" si="3">SUM(D27:D41)</f>
        <v>0</v>
      </c>
      <c r="E42" s="91">
        <f t="shared" si="3"/>
        <v>0</v>
      </c>
      <c r="F42" s="91">
        <f t="shared" si="3"/>
        <v>0</v>
      </c>
      <c r="G42" s="91">
        <f t="shared" si="3"/>
        <v>0</v>
      </c>
      <c r="H42" s="91">
        <f t="shared" si="3"/>
        <v>0</v>
      </c>
      <c r="I42" s="91">
        <f t="shared" si="3"/>
        <v>0</v>
      </c>
      <c r="J42" s="91">
        <f t="shared" si="3"/>
        <v>0</v>
      </c>
      <c r="K42" s="91">
        <f>SUM(K27:K41)</f>
        <v>0</v>
      </c>
      <c r="L42" s="91">
        <f>SUM(L27:L41)</f>
        <v>0</v>
      </c>
      <c r="M42" s="91">
        <f t="shared" si="3"/>
        <v>0</v>
      </c>
      <c r="N42" s="91">
        <f t="shared" si="3"/>
        <v>0</v>
      </c>
      <c r="O42" s="92">
        <f t="shared" si="3"/>
        <v>0</v>
      </c>
    </row>
    <row r="43" spans="1:15" ht="13.8" x14ac:dyDescent="0.25">
      <c r="A43" s="87"/>
      <c r="B43" s="93"/>
      <c r="C43" s="93"/>
      <c r="D43" s="94" t="s">
        <v>26</v>
      </c>
      <c r="E43" s="93"/>
      <c r="F43" s="93"/>
      <c r="G43" s="93"/>
      <c r="H43" s="93"/>
      <c r="I43" s="93"/>
      <c r="J43" s="93"/>
      <c r="K43" s="93"/>
      <c r="L43" s="93"/>
      <c r="M43" s="93"/>
      <c r="N43" s="93"/>
      <c r="O43" s="108" t="s">
        <v>27</v>
      </c>
    </row>
    <row r="44" spans="1:15" ht="13.8" thickBot="1" x14ac:dyDescent="0.3">
      <c r="A44" s="97"/>
      <c r="B44" s="72"/>
      <c r="C44" s="72" t="s">
        <v>71</v>
      </c>
      <c r="D44" s="98">
        <f>SUM(E42:O42)-D42</f>
        <v>0</v>
      </c>
      <c r="E44" s="253" t="str">
        <f>IF(D44=0,"","ERROR - figures do not add across")</f>
        <v/>
      </c>
      <c r="F44" s="72"/>
      <c r="G44" s="72"/>
      <c r="H44" s="72"/>
      <c r="I44" s="72"/>
      <c r="J44" s="72"/>
      <c r="K44" s="72"/>
      <c r="L44" s="72"/>
      <c r="M44" s="72"/>
      <c r="N44" s="72"/>
      <c r="O44" s="99"/>
    </row>
    <row r="46" spans="1:15" ht="13.8" thickBot="1" x14ac:dyDescent="0.3"/>
    <row r="47" spans="1:15" ht="18" thickBot="1" x14ac:dyDescent="0.3">
      <c r="A47" s="109" t="s">
        <v>28</v>
      </c>
      <c r="B47" s="61"/>
      <c r="C47" s="61"/>
      <c r="D47" s="110"/>
      <c r="E47" s="239" t="s">
        <v>10</v>
      </c>
      <c r="F47" s="70">
        <f>O3</f>
        <v>40751</v>
      </c>
      <c r="H47" s="109" t="s">
        <v>132</v>
      </c>
      <c r="I47" s="61"/>
      <c r="J47" s="61"/>
      <c r="K47" s="68"/>
      <c r="L47" s="68"/>
      <c r="M47" s="68"/>
      <c r="N47" s="239" t="s">
        <v>10</v>
      </c>
      <c r="O47" s="70">
        <f>F47</f>
        <v>40751</v>
      </c>
    </row>
    <row r="48" spans="1:15" x14ac:dyDescent="0.25">
      <c r="A48" s="102"/>
      <c r="B48" s="93"/>
      <c r="C48" s="93"/>
      <c r="D48" s="93"/>
      <c r="E48" s="93"/>
      <c r="F48" s="103"/>
      <c r="H48" s="102"/>
      <c r="I48" s="93"/>
      <c r="J48" s="93"/>
      <c r="K48" s="93"/>
      <c r="L48" s="93"/>
      <c r="M48" s="93"/>
      <c r="N48" s="93"/>
      <c r="O48" s="103"/>
    </row>
    <row r="49" spans="1:15" x14ac:dyDescent="0.25">
      <c r="A49" s="111" t="s">
        <v>29</v>
      </c>
      <c r="B49" s="93"/>
      <c r="C49" s="93"/>
      <c r="D49" s="93"/>
      <c r="E49" s="83">
        <f>'Month 3'!E53</f>
        <v>0</v>
      </c>
      <c r="F49" s="103"/>
      <c r="H49" s="112"/>
      <c r="I49" s="93"/>
      <c r="J49" s="93"/>
      <c r="K49" s="93"/>
      <c r="L49" s="93"/>
      <c r="M49" s="93"/>
      <c r="N49" s="93"/>
      <c r="O49" s="103"/>
    </row>
    <row r="50" spans="1:15" ht="14.4" thickBot="1" x14ac:dyDescent="0.3">
      <c r="A50" s="111" t="s">
        <v>30</v>
      </c>
      <c r="B50" s="93"/>
      <c r="C50" s="94"/>
      <c r="D50" s="94" t="s">
        <v>18</v>
      </c>
      <c r="E50" s="113">
        <f>+D19</f>
        <v>0</v>
      </c>
      <c r="F50" s="103"/>
      <c r="H50" s="112" t="s">
        <v>29</v>
      </c>
      <c r="I50" s="93"/>
      <c r="J50" s="93"/>
      <c r="K50" s="93"/>
      <c r="L50" s="93"/>
      <c r="N50" s="114">
        <f>'Month 3'!N56</f>
        <v>0</v>
      </c>
      <c r="O50" s="103"/>
    </row>
    <row r="51" spans="1:15" ht="13.8" x14ac:dyDescent="0.25">
      <c r="A51" s="111"/>
      <c r="B51" s="93"/>
      <c r="C51" s="94"/>
      <c r="D51" s="94"/>
      <c r="E51" s="83">
        <f>SUM(E49:E50)</f>
        <v>0</v>
      </c>
      <c r="F51" s="103"/>
      <c r="H51" s="112"/>
      <c r="I51" s="93"/>
      <c r="J51" s="93"/>
      <c r="K51" s="93"/>
      <c r="L51" s="93"/>
      <c r="N51" s="114"/>
      <c r="O51" s="103"/>
    </row>
    <row r="52" spans="1:15" ht="14.4" thickBot="1" x14ac:dyDescent="0.3">
      <c r="A52" s="111" t="s">
        <v>59</v>
      </c>
      <c r="B52" s="93"/>
      <c r="C52" s="94"/>
      <c r="D52" s="94" t="s">
        <v>26</v>
      </c>
      <c r="E52" s="83">
        <f>+D42</f>
        <v>0</v>
      </c>
      <c r="F52" s="103"/>
      <c r="H52" s="112" t="s">
        <v>133</v>
      </c>
      <c r="I52" s="93"/>
      <c r="J52" s="93"/>
      <c r="K52" s="93"/>
      <c r="L52" s="93"/>
      <c r="N52" s="114">
        <f>L42</f>
        <v>0</v>
      </c>
      <c r="O52" s="103"/>
    </row>
    <row r="53" spans="1:15" ht="14.4" thickBot="1" x14ac:dyDescent="0.3">
      <c r="A53" s="111" t="s">
        <v>31</v>
      </c>
      <c r="B53" s="94"/>
      <c r="C53" s="94"/>
      <c r="D53" s="108" t="s">
        <v>32</v>
      </c>
      <c r="E53" s="115">
        <f>SUM(E51-E52)</f>
        <v>0</v>
      </c>
      <c r="F53" s="103"/>
      <c r="H53" s="112"/>
      <c r="I53" s="93"/>
      <c r="J53" s="93"/>
      <c r="K53" s="93"/>
      <c r="L53" s="93"/>
      <c r="N53" s="114"/>
      <c r="O53" s="103"/>
    </row>
    <row r="54" spans="1:15" ht="13.8" thickBot="1" x14ac:dyDescent="0.3">
      <c r="A54" s="102"/>
      <c r="B54" s="93"/>
      <c r="C54" s="93"/>
      <c r="D54" s="93"/>
      <c r="E54" s="93"/>
      <c r="F54" s="103"/>
      <c r="H54" s="112" t="s">
        <v>134</v>
      </c>
      <c r="I54" s="93"/>
      <c r="J54" s="93"/>
      <c r="K54" s="93"/>
      <c r="L54" s="93"/>
      <c r="N54" s="114">
        <f>-D88</f>
        <v>0</v>
      </c>
      <c r="O54" s="103"/>
    </row>
    <row r="55" spans="1:15" ht="18" thickBot="1" x14ac:dyDescent="0.3">
      <c r="A55" s="116" t="s">
        <v>33</v>
      </c>
      <c r="B55" s="117"/>
      <c r="C55" s="61"/>
      <c r="D55" s="118"/>
      <c r="E55" s="93"/>
      <c r="F55" s="103"/>
      <c r="H55" s="112"/>
      <c r="I55" s="93"/>
      <c r="J55" s="93"/>
      <c r="K55" s="93"/>
      <c r="L55" s="93"/>
      <c r="N55" s="114"/>
      <c r="O55" s="103"/>
    </row>
    <row r="56" spans="1:15" ht="13.8" thickBot="1" x14ac:dyDescent="0.3">
      <c r="A56" s="102"/>
      <c r="B56" s="93"/>
      <c r="C56" s="93"/>
      <c r="D56" s="93"/>
      <c r="E56" s="93"/>
      <c r="F56" s="103"/>
      <c r="H56" s="112" t="s">
        <v>31</v>
      </c>
      <c r="I56" s="93"/>
      <c r="J56" s="93"/>
      <c r="K56" s="93"/>
      <c r="L56" s="93"/>
      <c r="N56" s="119">
        <f>SUM(N50:N55)</f>
        <v>0</v>
      </c>
      <c r="O56" s="103"/>
    </row>
    <row r="57" spans="1:15" ht="13.8" thickBot="1" x14ac:dyDescent="0.3">
      <c r="A57" s="111" t="s">
        <v>34</v>
      </c>
      <c r="B57" s="93"/>
      <c r="C57" s="120"/>
      <c r="D57" s="121"/>
      <c r="E57" s="122"/>
      <c r="F57" s="103"/>
      <c r="H57" s="102"/>
      <c r="I57" s="93"/>
      <c r="J57" s="93"/>
      <c r="K57" s="93"/>
      <c r="L57" s="93"/>
      <c r="M57" s="93"/>
      <c r="N57" s="93"/>
      <c r="O57" s="103"/>
    </row>
    <row r="58" spans="1:15" x14ac:dyDescent="0.25">
      <c r="A58" s="111"/>
      <c r="B58" s="93"/>
      <c r="C58" s="120"/>
      <c r="D58" s="121"/>
      <c r="E58" s="83"/>
      <c r="F58" s="103"/>
      <c r="H58" s="102"/>
      <c r="I58" s="93"/>
      <c r="J58" s="93"/>
      <c r="K58" s="93"/>
      <c r="L58" s="93"/>
      <c r="M58" s="93"/>
      <c r="N58" s="93"/>
      <c r="O58" s="103"/>
    </row>
    <row r="59" spans="1:15" x14ac:dyDescent="0.25">
      <c r="A59" s="111" t="s">
        <v>35</v>
      </c>
      <c r="B59" s="93"/>
      <c r="C59" s="120"/>
      <c r="D59" s="123"/>
      <c r="E59" s="83"/>
      <c r="F59" s="103"/>
      <c r="H59" s="102"/>
      <c r="I59" s="93"/>
      <c r="J59" s="93"/>
      <c r="K59" s="93"/>
      <c r="L59" s="93"/>
      <c r="M59" s="93"/>
      <c r="N59" s="93"/>
      <c r="O59" s="103"/>
    </row>
    <row r="60" spans="1:15" x14ac:dyDescent="0.25">
      <c r="A60" s="124"/>
      <c r="B60" s="52"/>
      <c r="C60" s="125"/>
      <c r="D60" s="126"/>
      <c r="E60" s="83"/>
      <c r="F60" s="103"/>
      <c r="H60" s="102"/>
      <c r="I60" s="93"/>
      <c r="J60" s="93"/>
      <c r="K60" s="93"/>
      <c r="L60" s="93"/>
      <c r="M60" s="93"/>
      <c r="N60" s="93"/>
      <c r="O60" s="103"/>
    </row>
    <row r="61" spans="1:15" ht="13.8" thickBot="1" x14ac:dyDescent="0.3">
      <c r="A61" s="124"/>
      <c r="B61" s="52"/>
      <c r="C61" s="125"/>
      <c r="D61" s="126"/>
      <c r="E61" s="127">
        <f>SUM(D59:D61)</f>
        <v>0</v>
      </c>
      <c r="F61" s="103"/>
      <c r="H61" s="102"/>
      <c r="I61" s="93"/>
      <c r="J61" s="93"/>
      <c r="K61" s="93"/>
      <c r="L61" s="93"/>
      <c r="M61" s="93"/>
      <c r="N61" s="93"/>
      <c r="O61" s="103"/>
    </row>
    <row r="62" spans="1:15" x14ac:dyDescent="0.25">
      <c r="A62" s="111"/>
      <c r="B62" s="93"/>
      <c r="C62" s="120"/>
      <c r="D62" s="123"/>
      <c r="E62" s="83">
        <f>SUM(E57:E61)</f>
        <v>0</v>
      </c>
      <c r="F62" s="103"/>
      <c r="H62" s="102"/>
      <c r="I62" s="93"/>
      <c r="J62" s="93"/>
      <c r="K62" s="93"/>
      <c r="L62" s="93"/>
      <c r="M62" s="93"/>
      <c r="N62" s="93"/>
      <c r="O62" s="103"/>
    </row>
    <row r="63" spans="1:15" x14ac:dyDescent="0.25">
      <c r="A63" s="111" t="s">
        <v>36</v>
      </c>
      <c r="B63" s="93"/>
      <c r="C63" s="128"/>
      <c r="D63" s="129"/>
      <c r="E63" s="83"/>
      <c r="F63" s="103"/>
      <c r="H63" s="102"/>
      <c r="I63" s="93"/>
      <c r="J63" s="93"/>
      <c r="K63" s="93"/>
      <c r="L63" s="93"/>
      <c r="M63" s="93"/>
      <c r="N63" s="93"/>
      <c r="O63" s="103"/>
    </row>
    <row r="64" spans="1:15" x14ac:dyDescent="0.25">
      <c r="A64" s="124"/>
      <c r="B64" s="52"/>
      <c r="C64" s="60"/>
      <c r="D64" s="130"/>
      <c r="E64" s="83"/>
      <c r="F64" s="103"/>
      <c r="H64" s="102"/>
      <c r="I64" s="93"/>
      <c r="J64" s="93"/>
      <c r="K64" s="93"/>
      <c r="L64" s="93"/>
      <c r="M64" s="93"/>
      <c r="N64" s="93"/>
      <c r="O64" s="103"/>
    </row>
    <row r="65" spans="1:15" x14ac:dyDescent="0.25">
      <c r="A65" s="124"/>
      <c r="B65" s="52"/>
      <c r="C65" s="60"/>
      <c r="D65" s="130"/>
      <c r="E65" s="83"/>
      <c r="F65" s="103"/>
      <c r="H65" s="102"/>
      <c r="I65" s="93"/>
      <c r="J65" s="93"/>
      <c r="K65" s="93"/>
      <c r="L65" s="93"/>
      <c r="M65" s="93"/>
      <c r="N65" s="93"/>
      <c r="O65" s="103"/>
    </row>
    <row r="66" spans="1:15" ht="13.8" thickBot="1" x14ac:dyDescent="0.3">
      <c r="A66" s="124"/>
      <c r="B66" s="52"/>
      <c r="C66" s="125"/>
      <c r="D66" s="126"/>
      <c r="E66" s="83">
        <f>SUM(D63:D66)</f>
        <v>0</v>
      </c>
      <c r="F66" s="103"/>
      <c r="H66" s="102"/>
      <c r="I66" s="93"/>
      <c r="J66" s="93"/>
      <c r="K66" s="93"/>
      <c r="L66" s="93"/>
      <c r="M66" s="93"/>
      <c r="N66" s="93"/>
      <c r="O66" s="103"/>
    </row>
    <row r="67" spans="1:15" ht="16.2" thickBot="1" x14ac:dyDescent="0.3">
      <c r="A67" s="131" t="s">
        <v>37</v>
      </c>
      <c r="B67" s="132"/>
      <c r="C67" s="132"/>
      <c r="D67" s="132" t="s">
        <v>32</v>
      </c>
      <c r="E67" s="115">
        <f>SUM(E62-E66)</f>
        <v>0</v>
      </c>
      <c r="F67" s="99"/>
      <c r="H67" s="133"/>
      <c r="I67" s="72"/>
      <c r="J67" s="72"/>
      <c r="K67" s="72"/>
      <c r="L67" s="72"/>
      <c r="M67" s="72"/>
      <c r="N67" s="72"/>
      <c r="O67" s="99"/>
    </row>
    <row r="69" spans="1:15" ht="13.8" thickBot="1" x14ac:dyDescent="0.3"/>
    <row r="70" spans="1:15" ht="18" thickBot="1" x14ac:dyDescent="0.3">
      <c r="A70" s="100" t="s">
        <v>38</v>
      </c>
      <c r="B70" s="101"/>
      <c r="C70" s="61"/>
      <c r="D70" s="68"/>
      <c r="E70" s="68"/>
      <c r="F70" s="68"/>
      <c r="G70" s="68"/>
      <c r="H70" s="68"/>
      <c r="I70" s="68"/>
      <c r="J70" s="68"/>
      <c r="K70" s="68"/>
      <c r="L70" s="68"/>
      <c r="M70" s="68"/>
      <c r="N70" s="239" t="s">
        <v>10</v>
      </c>
      <c r="O70" s="70">
        <f>O3</f>
        <v>40751</v>
      </c>
    </row>
    <row r="71" spans="1:15" ht="13.8" thickBot="1" x14ac:dyDescent="0.3">
      <c r="A71" s="102"/>
      <c r="B71" s="93"/>
      <c r="C71" s="93"/>
      <c r="D71" s="93"/>
      <c r="E71" s="93"/>
      <c r="F71" s="93"/>
      <c r="G71" s="93"/>
      <c r="H71" s="93"/>
      <c r="I71" s="93"/>
      <c r="J71" s="93"/>
      <c r="K71" s="93"/>
      <c r="L71" s="93"/>
      <c r="M71" s="93"/>
      <c r="N71" s="93"/>
      <c r="O71" s="103"/>
    </row>
    <row r="72" spans="1:15" s="79" customFormat="1" ht="27" customHeight="1" thickBot="1" x14ac:dyDescent="0.3">
      <c r="A72" s="74" t="s">
        <v>12</v>
      </c>
      <c r="B72" s="75" t="s">
        <v>129</v>
      </c>
      <c r="C72" s="105" t="s">
        <v>123</v>
      </c>
      <c r="D72" s="106" t="s">
        <v>64</v>
      </c>
      <c r="E72" s="107" t="str">
        <f>'Month 3'!E72</f>
        <v>Motor &amp; Travel</v>
      </c>
      <c r="F72" s="107" t="str">
        <f>'Month 3'!F72</f>
        <v>Print, Post Stationery</v>
      </c>
      <c r="G72" s="107" t="str">
        <f>'Month 3'!G72</f>
        <v>Subsist Accom</v>
      </c>
      <c r="H72" s="107" t="str">
        <f>'Month 3'!H72</f>
        <v>Software &amp; Materials</v>
      </c>
      <c r="I72" s="77" t="str">
        <f>'Month 3'!I72</f>
        <v>Books &amp; Magazines</v>
      </c>
      <c r="J72" s="107" t="str">
        <f>'Month 3'!J72</f>
        <v>Mobile &amp; Telephone</v>
      </c>
      <c r="K72" s="107" t="str">
        <f>'Month 3'!K72</f>
        <v xml:space="preserve"> </v>
      </c>
      <c r="L72" s="107" t="str">
        <f>'Month 3'!L72</f>
        <v xml:space="preserve"> </v>
      </c>
      <c r="M72" s="107" t="str">
        <f>'Month 3'!M72</f>
        <v xml:space="preserve"> </v>
      </c>
      <c r="N72" s="107" t="str">
        <f>'Month 3'!N72</f>
        <v>Sundries</v>
      </c>
      <c r="O72" s="134" t="s">
        <v>142</v>
      </c>
    </row>
    <row r="73" spans="1:15" x14ac:dyDescent="0.25">
      <c r="A73" s="80"/>
      <c r="B73" s="81"/>
      <c r="C73" s="60"/>
      <c r="D73" s="83">
        <f t="shared" ref="D73:D86" si="4">SUM(E73:O73)</f>
        <v>0</v>
      </c>
      <c r="E73" s="84"/>
      <c r="F73" s="84"/>
      <c r="G73" s="84"/>
      <c r="H73" s="84"/>
      <c r="I73" s="84"/>
      <c r="J73" s="84"/>
      <c r="K73" s="84"/>
      <c r="L73" s="84"/>
      <c r="M73" s="84"/>
      <c r="N73" s="84"/>
      <c r="O73" s="86"/>
    </row>
    <row r="74" spans="1:15" x14ac:dyDescent="0.25">
      <c r="A74" s="80"/>
      <c r="B74" s="81"/>
      <c r="C74" s="60"/>
      <c r="D74" s="83">
        <f t="shared" si="4"/>
        <v>0</v>
      </c>
      <c r="E74" s="84"/>
      <c r="F74" s="84"/>
      <c r="G74" s="84"/>
      <c r="H74" s="84"/>
      <c r="I74" s="84"/>
      <c r="J74" s="84"/>
      <c r="K74" s="84"/>
      <c r="L74" s="84"/>
      <c r="M74" s="84"/>
      <c r="N74" s="84"/>
      <c r="O74" s="86"/>
    </row>
    <row r="75" spans="1:15" x14ac:dyDescent="0.25">
      <c r="A75" s="80"/>
      <c r="B75" s="81"/>
      <c r="C75" s="60"/>
      <c r="D75" s="83">
        <f t="shared" si="4"/>
        <v>0</v>
      </c>
      <c r="E75" s="84"/>
      <c r="F75" s="84"/>
      <c r="G75" s="84"/>
      <c r="H75" s="84"/>
      <c r="I75" s="84"/>
      <c r="J75" s="84"/>
      <c r="K75" s="84"/>
      <c r="L75" s="84"/>
      <c r="M75" s="84"/>
      <c r="N75" s="84"/>
      <c r="O75" s="86"/>
    </row>
    <row r="76" spans="1:15" x14ac:dyDescent="0.25">
      <c r="A76" s="80"/>
      <c r="B76" s="81"/>
      <c r="C76" s="60"/>
      <c r="D76" s="83">
        <f t="shared" si="4"/>
        <v>0</v>
      </c>
      <c r="E76" s="84"/>
      <c r="F76" s="84"/>
      <c r="G76" s="84"/>
      <c r="H76" s="84"/>
      <c r="I76" s="84"/>
      <c r="J76" s="84"/>
      <c r="K76" s="84"/>
      <c r="L76" s="84"/>
      <c r="M76" s="84"/>
      <c r="N76" s="84"/>
      <c r="O76" s="86"/>
    </row>
    <row r="77" spans="1:15" x14ac:dyDescent="0.25">
      <c r="A77" s="80"/>
      <c r="B77" s="81"/>
      <c r="C77" s="60"/>
      <c r="D77" s="83">
        <f t="shared" si="4"/>
        <v>0</v>
      </c>
      <c r="E77" s="84"/>
      <c r="F77" s="84"/>
      <c r="G77" s="84"/>
      <c r="H77" s="84"/>
      <c r="I77" s="84"/>
      <c r="J77" s="84"/>
      <c r="K77" s="84"/>
      <c r="L77" s="84"/>
      <c r="M77" s="84"/>
      <c r="N77" s="84"/>
      <c r="O77" s="86"/>
    </row>
    <row r="78" spans="1:15" x14ac:dyDescent="0.25">
      <c r="A78" s="80"/>
      <c r="B78" s="81"/>
      <c r="C78" s="60"/>
      <c r="D78" s="83">
        <f t="shared" si="4"/>
        <v>0</v>
      </c>
      <c r="E78" s="84"/>
      <c r="F78" s="84"/>
      <c r="G78" s="84"/>
      <c r="H78" s="84"/>
      <c r="I78" s="84"/>
      <c r="J78" s="84"/>
      <c r="K78" s="84"/>
      <c r="L78" s="84"/>
      <c r="M78" s="84"/>
      <c r="N78" s="84"/>
      <c r="O78" s="86"/>
    </row>
    <row r="79" spans="1:15" x14ac:dyDescent="0.25">
      <c r="A79" s="80"/>
      <c r="B79" s="81"/>
      <c r="C79" s="60"/>
      <c r="D79" s="83">
        <f t="shared" si="4"/>
        <v>0</v>
      </c>
      <c r="E79" s="84"/>
      <c r="F79" s="84"/>
      <c r="G79" s="84"/>
      <c r="H79" s="84"/>
      <c r="I79" s="84"/>
      <c r="J79" s="84"/>
      <c r="K79" s="84"/>
      <c r="L79" s="84"/>
      <c r="M79" s="84"/>
      <c r="N79" s="84"/>
      <c r="O79" s="86"/>
    </row>
    <row r="80" spans="1:15" x14ac:dyDescent="0.25">
      <c r="A80" s="80"/>
      <c r="B80" s="81"/>
      <c r="C80" s="60"/>
      <c r="D80" s="83">
        <f t="shared" si="4"/>
        <v>0</v>
      </c>
      <c r="E80" s="84"/>
      <c r="F80" s="84"/>
      <c r="G80" s="84"/>
      <c r="H80" s="84"/>
      <c r="I80" s="84"/>
      <c r="J80" s="84"/>
      <c r="K80" s="84"/>
      <c r="L80" s="84"/>
      <c r="M80" s="84"/>
      <c r="N80" s="84"/>
      <c r="O80" s="86"/>
    </row>
    <row r="81" spans="1:15" x14ac:dyDescent="0.25">
      <c r="A81" s="80"/>
      <c r="B81" s="81"/>
      <c r="C81" s="60"/>
      <c r="D81" s="83">
        <f t="shared" si="4"/>
        <v>0</v>
      </c>
      <c r="E81" s="84"/>
      <c r="F81" s="84"/>
      <c r="G81" s="84"/>
      <c r="H81" s="84"/>
      <c r="I81" s="84"/>
      <c r="J81" s="84"/>
      <c r="K81" s="84"/>
      <c r="L81" s="84"/>
      <c r="M81" s="84"/>
      <c r="N81" s="84"/>
      <c r="O81" s="86"/>
    </row>
    <row r="82" spans="1:15" x14ac:dyDescent="0.25">
      <c r="A82" s="80"/>
      <c r="B82" s="81"/>
      <c r="C82" s="60"/>
      <c r="D82" s="83">
        <f t="shared" si="4"/>
        <v>0</v>
      </c>
      <c r="E82" s="84"/>
      <c r="F82" s="84"/>
      <c r="G82" s="84"/>
      <c r="H82" s="84"/>
      <c r="I82" s="84"/>
      <c r="J82" s="84"/>
      <c r="K82" s="84"/>
      <c r="L82" s="84"/>
      <c r="M82" s="84"/>
      <c r="N82" s="84"/>
      <c r="O82" s="86"/>
    </row>
    <row r="83" spans="1:15" x14ac:dyDescent="0.25">
      <c r="A83" s="80"/>
      <c r="B83" s="81"/>
      <c r="C83" s="60"/>
      <c r="D83" s="83">
        <f t="shared" si="4"/>
        <v>0</v>
      </c>
      <c r="E83" s="84"/>
      <c r="F83" s="84"/>
      <c r="G83" s="84"/>
      <c r="H83" s="84"/>
      <c r="I83" s="84"/>
      <c r="J83" s="84"/>
      <c r="K83" s="84"/>
      <c r="L83" s="84"/>
      <c r="M83" s="84"/>
      <c r="N83" s="84"/>
      <c r="O83" s="86"/>
    </row>
    <row r="84" spans="1:15" x14ac:dyDescent="0.25">
      <c r="A84" s="80"/>
      <c r="B84" s="81"/>
      <c r="C84" s="60"/>
      <c r="D84" s="83">
        <f t="shared" si="4"/>
        <v>0</v>
      </c>
      <c r="E84" s="84"/>
      <c r="F84" s="84"/>
      <c r="G84" s="84"/>
      <c r="H84" s="84"/>
      <c r="I84" s="84"/>
      <c r="J84" s="84"/>
      <c r="K84" s="84"/>
      <c r="L84" s="84"/>
      <c r="M84" s="84"/>
      <c r="N84" s="84"/>
      <c r="O84" s="86"/>
    </row>
    <row r="85" spans="1:15" x14ac:dyDescent="0.25">
      <c r="A85" s="80"/>
      <c r="B85" s="81"/>
      <c r="C85" s="60"/>
      <c r="D85" s="83">
        <f t="shared" si="4"/>
        <v>0</v>
      </c>
      <c r="E85" s="84"/>
      <c r="F85" s="84"/>
      <c r="G85" s="84"/>
      <c r="H85" s="84"/>
      <c r="I85" s="84"/>
      <c r="J85" s="84"/>
      <c r="K85" s="84"/>
      <c r="L85" s="84"/>
      <c r="M85" s="84"/>
      <c r="N85" s="84"/>
      <c r="O85" s="86"/>
    </row>
    <row r="86" spans="1:15" x14ac:dyDescent="0.25">
      <c r="A86" s="135"/>
      <c r="B86" s="81"/>
      <c r="C86" s="60"/>
      <c r="D86" s="83">
        <f t="shared" si="4"/>
        <v>0</v>
      </c>
      <c r="E86" s="84"/>
      <c r="F86" s="84"/>
      <c r="G86" s="84"/>
      <c r="H86" s="84"/>
      <c r="I86" s="84"/>
      <c r="J86" s="84"/>
      <c r="K86" s="84"/>
      <c r="L86" s="84"/>
      <c r="M86" s="84"/>
      <c r="N86" s="84"/>
      <c r="O86" s="86"/>
    </row>
    <row r="87" spans="1:15" ht="13.8" thickBot="1" x14ac:dyDescent="0.3">
      <c r="A87" s="80"/>
      <c r="B87" s="81"/>
      <c r="C87" s="60"/>
      <c r="D87" s="83"/>
      <c r="E87" s="84" t="s">
        <v>11</v>
      </c>
      <c r="F87" s="84"/>
      <c r="G87" s="84"/>
      <c r="H87" s="84"/>
      <c r="I87" s="84"/>
      <c r="J87" s="84"/>
      <c r="K87" s="84"/>
      <c r="L87" s="84"/>
      <c r="M87" s="84"/>
      <c r="N87" s="84"/>
      <c r="O87" s="86"/>
    </row>
    <row r="88" spans="1:15" ht="16.2" thickBot="1" x14ac:dyDescent="0.3">
      <c r="A88" s="87"/>
      <c r="B88" s="88"/>
      <c r="C88" s="89" t="s">
        <v>17</v>
      </c>
      <c r="D88" s="90">
        <f t="shared" ref="D88:J88" si="5">SUM(D73:D87)</f>
        <v>0</v>
      </c>
      <c r="E88" s="91">
        <f t="shared" si="5"/>
        <v>0</v>
      </c>
      <c r="F88" s="91">
        <f t="shared" si="5"/>
        <v>0</v>
      </c>
      <c r="G88" s="91">
        <f t="shared" si="5"/>
        <v>0</v>
      </c>
      <c r="H88" s="91">
        <f t="shared" si="5"/>
        <v>0</v>
      </c>
      <c r="I88" s="91">
        <f t="shared" si="5"/>
        <v>0</v>
      </c>
      <c r="J88" s="91">
        <f t="shared" si="5"/>
        <v>0</v>
      </c>
      <c r="K88" s="91">
        <f>SUM(K73:K87)</f>
        <v>0</v>
      </c>
      <c r="L88" s="91">
        <f>SUM(L73:L87)</f>
        <v>0</v>
      </c>
      <c r="M88" s="91">
        <f>SUM(M73:M87)</f>
        <v>0</v>
      </c>
      <c r="N88" s="91">
        <f>SUM(N73:N87)</f>
        <v>0</v>
      </c>
      <c r="O88" s="92">
        <f>SUM(O73:O87)</f>
        <v>0</v>
      </c>
    </row>
    <row r="89" spans="1:15" ht="15.6" x14ac:dyDescent="0.25">
      <c r="A89" s="87"/>
      <c r="B89" s="93"/>
      <c r="C89" s="93"/>
      <c r="D89" s="93"/>
      <c r="E89" s="93"/>
      <c r="F89" s="93"/>
      <c r="G89" s="93"/>
      <c r="H89" s="93"/>
      <c r="I89" s="93"/>
      <c r="J89" s="93"/>
      <c r="K89" s="93"/>
      <c r="L89" s="93"/>
      <c r="M89" s="93"/>
      <c r="N89" s="93"/>
      <c r="O89" s="136" t="s">
        <v>41</v>
      </c>
    </row>
    <row r="90" spans="1:15" ht="16.2" thickBot="1" x14ac:dyDescent="0.3">
      <c r="A90" s="97"/>
      <c r="B90" s="72"/>
      <c r="C90" s="72" t="s">
        <v>71</v>
      </c>
      <c r="D90" s="98">
        <f>SUM(E88:O88)-D88</f>
        <v>0</v>
      </c>
      <c r="E90" s="253" t="str">
        <f>IF(D90=0,"","ERROR - figures do not add across")</f>
        <v/>
      </c>
      <c r="F90" s="72"/>
      <c r="G90" s="72"/>
      <c r="H90" s="72"/>
      <c r="I90" s="72"/>
      <c r="J90" s="72"/>
      <c r="K90" s="72"/>
      <c r="L90" s="72"/>
      <c r="M90" s="72"/>
      <c r="N90" s="72"/>
      <c r="O90" s="137"/>
    </row>
  </sheetData>
  <customSheetViews>
    <customSheetView guid="{93A5533C-1BF0-4CFD-B527-DBAD1AD08F71}" fitToPage="1" showRuler="0">
      <selection activeCell="B13" sqref="B13"/>
      <pageMargins left="0.59055118110236227" right="0.15748031496062992" top="0.59055118110236227" bottom="0.59055118110236227" header="0.31496062992125984" footer="0.31496062992125984"/>
      <printOptions horizontalCentered="1"/>
      <pageSetup paperSize="9" scale="58" orientation="portrait" r:id="rId1"/>
      <headerFooter alignWithMargins="0">
        <oddHeader>&amp;C&amp;A</oddHeader>
        <oddFooter>&amp;L&amp;F&amp;CPage &amp;P&amp;R&amp;D</oddFooter>
      </headerFooter>
    </customSheetView>
  </customSheetViews>
  <phoneticPr fontId="0" type="noConversion"/>
  <printOptions horizontalCentered="1"/>
  <pageMargins left="0.59055118110236227" right="0.39370078740157483" top="0.59055118110236227" bottom="0.59055118110236227" header="0.31496062992125984" footer="0.31496062992125984"/>
  <pageSetup paperSize="9" scale="59" orientation="portrait" r:id="rId2"/>
  <headerFooter alignWithMargins="0">
    <oddHeader>&amp;C&amp;A</oddHeader>
    <oddFooter>&amp;L&amp;Z&amp;F\&amp;A&amp;CPage &amp;P&amp;R&amp;D  &amp;T</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O90"/>
  <sheetViews>
    <sheetView zoomScale="85" workbookViewId="0">
      <selection activeCell="A7" sqref="A7"/>
    </sheetView>
  </sheetViews>
  <sheetFormatPr defaultColWidth="9.109375" defaultRowHeight="13.2" x14ac:dyDescent="0.25"/>
  <cols>
    <col min="1" max="1" width="10" style="66" customWidth="1"/>
    <col min="2" max="2" width="4.5546875" style="66" customWidth="1"/>
    <col min="3" max="3" width="25.6640625" style="66" customWidth="1"/>
    <col min="4" max="4" width="10.109375" style="66" customWidth="1"/>
    <col min="5" max="5" width="10" style="66" bestFit="1" customWidth="1"/>
    <col min="6" max="6" width="12.5546875" style="66" bestFit="1" customWidth="1"/>
    <col min="7" max="7" width="9.88671875" style="66" bestFit="1" customWidth="1"/>
    <col min="8" max="8" width="11.44140625" style="66" bestFit="1" customWidth="1"/>
    <col min="9" max="9" width="10.88671875" style="66" bestFit="1" customWidth="1"/>
    <col min="10" max="10" width="10.6640625" style="66" bestFit="1" customWidth="1"/>
    <col min="11" max="11" width="9.109375" style="66"/>
    <col min="12" max="12" width="7.109375" style="66" customWidth="1"/>
    <col min="13" max="13" width="8.88671875" style="66" customWidth="1"/>
    <col min="14" max="14" width="9.88671875" style="66" bestFit="1" customWidth="1"/>
    <col min="15" max="15" width="9.5546875" style="66" bestFit="1" customWidth="1"/>
    <col min="16" max="16384" width="9.109375" style="66"/>
  </cols>
  <sheetData>
    <row r="1" spans="1:15" ht="16.2" thickBot="1" x14ac:dyDescent="0.3">
      <c r="A1" s="63" t="str">
        <f>'Company Info'!B5</f>
        <v>ABC Limited</v>
      </c>
      <c r="B1" s="64"/>
      <c r="C1" s="64"/>
      <c r="D1" s="65"/>
    </row>
    <row r="2" spans="1:15" ht="13.8" thickBot="1" x14ac:dyDescent="0.3"/>
    <row r="3" spans="1:15" ht="18" thickBot="1" x14ac:dyDescent="0.3">
      <c r="A3" s="67" t="s">
        <v>9</v>
      </c>
      <c r="B3" s="61"/>
      <c r="C3" s="61"/>
      <c r="D3" s="68"/>
      <c r="E3" s="68"/>
      <c r="F3" s="68"/>
      <c r="G3" s="68"/>
      <c r="H3" s="68"/>
      <c r="I3" s="68"/>
      <c r="J3" s="68"/>
      <c r="K3" s="68"/>
      <c r="L3" s="68"/>
      <c r="M3" s="68"/>
      <c r="N3" s="239" t="s">
        <v>10</v>
      </c>
      <c r="O3" s="70">
        <f>'Month 6'!O3-31</f>
        <v>40782</v>
      </c>
    </row>
    <row r="4" spans="1:15" ht="13.8" thickBot="1" x14ac:dyDescent="0.3">
      <c r="A4" s="71"/>
      <c r="B4" s="68"/>
      <c r="C4" s="68"/>
      <c r="D4" s="72"/>
      <c r="E4" s="72"/>
      <c r="F4" s="72"/>
      <c r="G4" s="72"/>
      <c r="H4" s="72"/>
      <c r="N4" s="68"/>
      <c r="O4" s="73"/>
    </row>
    <row r="5" spans="1:15" s="79" customFormat="1" ht="26.25" customHeight="1" thickBot="1" x14ac:dyDescent="0.3">
      <c r="A5" s="74" t="s">
        <v>12</v>
      </c>
      <c r="B5" s="75" t="s">
        <v>130</v>
      </c>
      <c r="C5" s="76" t="s">
        <v>123</v>
      </c>
      <c r="D5" s="75" t="s">
        <v>13</v>
      </c>
      <c r="E5" s="77" t="str">
        <f>'Month 4'!E5</f>
        <v>Net Sales</v>
      </c>
      <c r="F5" s="77" t="str">
        <f>'Month 4'!F5</f>
        <v>Expenses Reimbursed</v>
      </c>
      <c r="G5" s="77" t="str">
        <f>'Month 4'!G5</f>
        <v>VAT</v>
      </c>
      <c r="H5" s="77" t="str">
        <f>'Month 4'!H5</f>
        <v>Interest Received</v>
      </c>
      <c r="I5" s="77" t="str">
        <f>'Month 4'!I5</f>
        <v>Tax Refunds</v>
      </c>
      <c r="J5" s="77" t="str">
        <f>'Month 4'!J5</f>
        <v>Company Dep A/C</v>
      </c>
      <c r="K5" s="77">
        <f>'Month 4'!K5</f>
        <v>0</v>
      </c>
      <c r="L5" s="77">
        <f>'Month 4'!L5</f>
        <v>0</v>
      </c>
      <c r="M5" s="77">
        <f>'Month 4'!M5</f>
        <v>0</v>
      </c>
      <c r="N5" s="77">
        <f>'Month 4'!N5</f>
        <v>0</v>
      </c>
      <c r="O5" s="78" t="str">
        <f>'Month 4'!O5</f>
        <v>Sundries</v>
      </c>
    </row>
    <row r="6" spans="1:15" x14ac:dyDescent="0.25">
      <c r="A6" s="80"/>
      <c r="B6" s="81"/>
      <c r="C6" s="60"/>
      <c r="D6" s="83">
        <f t="shared" ref="D6:D17" si="0">SUM(E6:O6)</f>
        <v>0</v>
      </c>
      <c r="E6" s="84"/>
      <c r="F6" s="84"/>
      <c r="G6" s="84"/>
      <c r="H6" s="84"/>
      <c r="I6" s="84"/>
      <c r="J6" s="84"/>
      <c r="K6" s="84"/>
      <c r="L6" s="84"/>
      <c r="M6" s="84"/>
      <c r="N6" s="84"/>
      <c r="O6" s="86"/>
    </row>
    <row r="7" spans="1:15" x14ac:dyDescent="0.25">
      <c r="A7" s="80"/>
      <c r="B7" s="81"/>
      <c r="C7" s="60"/>
      <c r="D7" s="83">
        <f t="shared" si="0"/>
        <v>0</v>
      </c>
      <c r="E7" s="84"/>
      <c r="F7" s="84"/>
      <c r="G7" s="84"/>
      <c r="H7" s="84"/>
      <c r="I7" s="84"/>
      <c r="J7" s="84"/>
      <c r="K7" s="84"/>
      <c r="L7" s="84"/>
      <c r="M7" s="84"/>
      <c r="N7" s="84"/>
      <c r="O7" s="86"/>
    </row>
    <row r="8" spans="1:15" x14ac:dyDescent="0.25">
      <c r="A8" s="80"/>
      <c r="B8" s="81"/>
      <c r="C8" s="60"/>
      <c r="D8" s="83">
        <f t="shared" si="0"/>
        <v>0</v>
      </c>
      <c r="E8" s="84"/>
      <c r="F8" s="84"/>
      <c r="G8" s="84"/>
      <c r="H8" s="84"/>
      <c r="I8" s="84"/>
      <c r="J8" s="84"/>
      <c r="K8" s="84"/>
      <c r="L8" s="84"/>
      <c r="M8" s="84"/>
      <c r="N8" s="84"/>
      <c r="O8" s="86"/>
    </row>
    <row r="9" spans="1:15" x14ac:dyDescent="0.25">
      <c r="A9" s="80"/>
      <c r="B9" s="81"/>
      <c r="C9" s="60"/>
      <c r="D9" s="83">
        <f t="shared" si="0"/>
        <v>0</v>
      </c>
      <c r="E9" s="84"/>
      <c r="F9" s="84"/>
      <c r="G9" s="84"/>
      <c r="H9" s="84"/>
      <c r="I9" s="84"/>
      <c r="J9" s="84"/>
      <c r="K9" s="84"/>
      <c r="L9" s="84"/>
      <c r="M9" s="84"/>
      <c r="N9" s="84"/>
      <c r="O9" s="86"/>
    </row>
    <row r="10" spans="1:15" x14ac:dyDescent="0.25">
      <c r="A10" s="80"/>
      <c r="B10" s="81"/>
      <c r="C10" s="60"/>
      <c r="D10" s="83">
        <f t="shared" si="0"/>
        <v>0</v>
      </c>
      <c r="E10" s="84"/>
      <c r="F10" s="84"/>
      <c r="G10" s="84"/>
      <c r="H10" s="84"/>
      <c r="I10" s="84"/>
      <c r="J10" s="84"/>
      <c r="K10" s="84"/>
      <c r="L10" s="84"/>
      <c r="M10" s="84"/>
      <c r="N10" s="84"/>
      <c r="O10" s="86"/>
    </row>
    <row r="11" spans="1:15" x14ac:dyDescent="0.25">
      <c r="A11" s="80"/>
      <c r="B11" s="81"/>
      <c r="C11" s="60"/>
      <c r="D11" s="83">
        <f t="shared" si="0"/>
        <v>0</v>
      </c>
      <c r="E11" s="84"/>
      <c r="F11" s="84"/>
      <c r="G11" s="84"/>
      <c r="H11" s="84"/>
      <c r="I11" s="84"/>
      <c r="J11" s="84"/>
      <c r="K11" s="84"/>
      <c r="L11" s="84"/>
      <c r="M11" s="84"/>
      <c r="N11" s="84"/>
      <c r="O11" s="86"/>
    </row>
    <row r="12" spans="1:15" x14ac:dyDescent="0.25">
      <c r="A12" s="80"/>
      <c r="B12" s="81"/>
      <c r="C12" s="60"/>
      <c r="D12" s="83">
        <f t="shared" si="0"/>
        <v>0</v>
      </c>
      <c r="E12" s="84"/>
      <c r="F12" s="84"/>
      <c r="G12" s="84"/>
      <c r="H12" s="84"/>
      <c r="I12" s="84"/>
      <c r="J12" s="84"/>
      <c r="K12" s="84"/>
      <c r="L12" s="84"/>
      <c r="M12" s="84"/>
      <c r="N12" s="84"/>
      <c r="O12" s="86"/>
    </row>
    <row r="13" spans="1:15" x14ac:dyDescent="0.25">
      <c r="A13" s="80"/>
      <c r="B13" s="81"/>
      <c r="C13" s="60"/>
      <c r="D13" s="83">
        <f t="shared" si="0"/>
        <v>0</v>
      </c>
      <c r="E13" s="84"/>
      <c r="F13" s="84"/>
      <c r="G13" s="84"/>
      <c r="H13" s="84"/>
      <c r="I13" s="84"/>
      <c r="J13" s="84"/>
      <c r="K13" s="84"/>
      <c r="L13" s="84"/>
      <c r="M13" s="84"/>
      <c r="N13" s="84"/>
      <c r="O13" s="86"/>
    </row>
    <row r="14" spans="1:15" x14ac:dyDescent="0.25">
      <c r="A14" s="80"/>
      <c r="B14" s="81"/>
      <c r="C14" s="60"/>
      <c r="D14" s="83">
        <f t="shared" si="0"/>
        <v>0</v>
      </c>
      <c r="E14" s="84"/>
      <c r="F14" s="84"/>
      <c r="G14" s="84"/>
      <c r="H14" s="84"/>
      <c r="I14" s="84"/>
      <c r="J14" s="84"/>
      <c r="K14" s="84"/>
      <c r="L14" s="84"/>
      <c r="M14" s="84"/>
      <c r="N14" s="84"/>
      <c r="O14" s="86"/>
    </row>
    <row r="15" spans="1:15" x14ac:dyDescent="0.25">
      <c r="A15" s="80"/>
      <c r="B15" s="81"/>
      <c r="C15" s="60"/>
      <c r="D15" s="83">
        <f t="shared" si="0"/>
        <v>0</v>
      </c>
      <c r="E15" s="84"/>
      <c r="F15" s="84"/>
      <c r="G15" s="84"/>
      <c r="H15" s="84"/>
      <c r="I15" s="84"/>
      <c r="J15" s="84"/>
      <c r="K15" s="84"/>
      <c r="L15" s="84"/>
      <c r="M15" s="84"/>
      <c r="N15" s="84"/>
      <c r="O15" s="86"/>
    </row>
    <row r="16" spans="1:15" x14ac:dyDescent="0.25">
      <c r="A16" s="80"/>
      <c r="B16" s="81"/>
      <c r="C16" s="60"/>
      <c r="D16" s="83">
        <f t="shared" si="0"/>
        <v>0</v>
      </c>
      <c r="E16" s="84"/>
      <c r="F16" s="84"/>
      <c r="G16" s="84"/>
      <c r="H16" s="84"/>
      <c r="I16" s="84"/>
      <c r="J16" s="84"/>
      <c r="K16" s="84"/>
      <c r="L16" s="84"/>
      <c r="M16" s="84"/>
      <c r="N16" s="84"/>
      <c r="O16" s="86"/>
    </row>
    <row r="17" spans="1:15" x14ac:dyDescent="0.25">
      <c r="A17" s="80"/>
      <c r="B17" s="81"/>
      <c r="C17" s="60"/>
      <c r="D17" s="83">
        <f t="shared" si="0"/>
        <v>0</v>
      </c>
      <c r="E17" s="84"/>
      <c r="F17" s="84"/>
      <c r="G17" s="84"/>
      <c r="H17" s="84"/>
      <c r="I17" s="84"/>
      <c r="J17" s="84"/>
      <c r="K17" s="84"/>
      <c r="L17" s="84"/>
      <c r="M17" s="84"/>
      <c r="N17" s="84"/>
      <c r="O17" s="86"/>
    </row>
    <row r="18" spans="1:15" ht="13.8" thickBot="1" x14ac:dyDescent="0.3">
      <c r="A18" s="80"/>
      <c r="B18" s="81"/>
      <c r="C18" s="60"/>
      <c r="D18" s="83"/>
      <c r="E18" s="84"/>
      <c r="F18" s="84"/>
      <c r="G18" s="84"/>
      <c r="H18" s="84"/>
      <c r="I18" s="19"/>
      <c r="J18" s="19"/>
      <c r="K18" s="19"/>
      <c r="L18" s="19"/>
      <c r="M18" s="19"/>
      <c r="N18" s="85"/>
      <c r="O18" s="86"/>
    </row>
    <row r="19" spans="1:15" ht="16.2" thickBot="1" x14ac:dyDescent="0.3">
      <c r="A19" s="87"/>
      <c r="B19" s="88"/>
      <c r="C19" s="89" t="s">
        <v>17</v>
      </c>
      <c r="D19" s="90">
        <f t="shared" ref="D19:O19" si="1">SUM(D6:D18)</f>
        <v>0</v>
      </c>
      <c r="E19" s="91">
        <f t="shared" si="1"/>
        <v>0</v>
      </c>
      <c r="F19" s="91">
        <f t="shared" si="1"/>
        <v>0</v>
      </c>
      <c r="G19" s="91">
        <f t="shared" si="1"/>
        <v>0</v>
      </c>
      <c r="H19" s="91">
        <f t="shared" si="1"/>
        <v>0</v>
      </c>
      <c r="I19" s="91">
        <f t="shared" si="1"/>
        <v>0</v>
      </c>
      <c r="J19" s="91">
        <f t="shared" si="1"/>
        <v>0</v>
      </c>
      <c r="K19" s="91">
        <f t="shared" si="1"/>
        <v>0</v>
      </c>
      <c r="L19" s="91">
        <f t="shared" si="1"/>
        <v>0</v>
      </c>
      <c r="M19" s="91">
        <f t="shared" si="1"/>
        <v>0</v>
      </c>
      <c r="N19" s="91">
        <f t="shared" si="1"/>
        <v>0</v>
      </c>
      <c r="O19" s="92">
        <f t="shared" si="1"/>
        <v>0</v>
      </c>
    </row>
    <row r="20" spans="1:15" ht="12.75" customHeight="1" x14ac:dyDescent="0.25">
      <c r="A20" s="87"/>
      <c r="B20" s="93"/>
      <c r="C20" s="93"/>
      <c r="D20" s="236" t="s">
        <v>18</v>
      </c>
      <c r="E20" s="236" t="s">
        <v>19</v>
      </c>
      <c r="F20" s="236" t="s">
        <v>19</v>
      </c>
      <c r="G20" s="237" t="s">
        <v>20</v>
      </c>
      <c r="H20" s="93"/>
      <c r="N20" s="93"/>
      <c r="O20" s="103"/>
    </row>
    <row r="21" spans="1:15" ht="13.8" thickBot="1" x14ac:dyDescent="0.3">
      <c r="A21" s="97"/>
      <c r="B21" s="72"/>
      <c r="C21" s="72" t="s">
        <v>71</v>
      </c>
      <c r="D21" s="98">
        <f>SUM(E19:O19)-D19</f>
        <v>0</v>
      </c>
      <c r="E21" s="253" t="str">
        <f>IF(D21=0,"","ERROR - figures do not add across")</f>
        <v/>
      </c>
      <c r="F21" s="72"/>
      <c r="G21" s="72"/>
      <c r="H21" s="72"/>
      <c r="I21" s="72"/>
      <c r="J21" s="72"/>
      <c r="K21" s="72"/>
      <c r="L21" s="72"/>
      <c r="M21" s="72"/>
      <c r="N21" s="72"/>
      <c r="O21" s="99"/>
    </row>
    <row r="23" spans="1:15" ht="13.8" thickBot="1" x14ac:dyDescent="0.3"/>
    <row r="24" spans="1:15" ht="18" thickBot="1" x14ac:dyDescent="0.3">
      <c r="A24" s="100" t="s">
        <v>21</v>
      </c>
      <c r="B24" s="101"/>
      <c r="C24" s="61"/>
      <c r="D24" s="68"/>
      <c r="E24" s="68"/>
      <c r="F24" s="68"/>
      <c r="G24" s="68"/>
      <c r="H24" s="68"/>
      <c r="I24" s="68"/>
      <c r="J24" s="68"/>
      <c r="K24" s="68"/>
      <c r="L24" s="68"/>
      <c r="M24" s="68"/>
      <c r="N24" s="239" t="s">
        <v>10</v>
      </c>
      <c r="O24" s="70">
        <f>O3</f>
        <v>40782</v>
      </c>
    </row>
    <row r="25" spans="1:15" ht="13.8" thickBot="1" x14ac:dyDescent="0.3">
      <c r="A25" s="102"/>
      <c r="B25" s="93"/>
      <c r="C25" s="93"/>
      <c r="D25" s="93"/>
      <c r="E25" s="93"/>
      <c r="F25" s="93"/>
      <c r="G25" s="93"/>
      <c r="H25" s="93"/>
      <c r="I25" s="93"/>
      <c r="J25" s="93"/>
      <c r="K25" s="93"/>
      <c r="L25" s="93"/>
      <c r="M25" s="93"/>
      <c r="N25" s="93"/>
      <c r="O25" s="103"/>
    </row>
    <row r="26" spans="1:15" s="79" customFormat="1" ht="27" customHeight="1" thickBot="1" x14ac:dyDescent="0.3">
      <c r="A26" s="104" t="s">
        <v>12</v>
      </c>
      <c r="B26" s="75" t="s">
        <v>68</v>
      </c>
      <c r="C26" s="105" t="s">
        <v>123</v>
      </c>
      <c r="D26" s="106" t="s">
        <v>63</v>
      </c>
      <c r="E26" s="107" t="str">
        <f>'Month 4'!E26</f>
        <v>PAYE/NI</v>
      </c>
      <c r="F26" s="107" t="str">
        <f>'Month 4'!F26</f>
        <v>Net Wages</v>
      </c>
      <c r="G26" s="107" t="str">
        <f>'Month 4'!G26</f>
        <v>Dividends</v>
      </c>
      <c r="H26" s="107" t="str">
        <f>'Month 4'!H26</f>
        <v>Company Dep A/C</v>
      </c>
      <c r="I26" s="107" t="str">
        <f>'Month 4'!I26</f>
        <v>Company Pension</v>
      </c>
      <c r="J26" s="107" t="str">
        <f>'Month 4'!J26</f>
        <v>Motor &amp; Travel</v>
      </c>
      <c r="K26" s="107" t="str">
        <f>'Month 4'!K26</f>
        <v>Standing Orders</v>
      </c>
      <c r="L26" s="107" t="str">
        <f>'Month 4'!L26</f>
        <v>Petty Cash</v>
      </c>
      <c r="M26" s="107" t="s">
        <v>143</v>
      </c>
      <c r="N26" s="107" t="str">
        <f>'Month 4'!N26</f>
        <v>Sundries</v>
      </c>
      <c r="O26" s="78" t="s">
        <v>142</v>
      </c>
    </row>
    <row r="27" spans="1:15" x14ac:dyDescent="0.25">
      <c r="A27" s="80"/>
      <c r="B27" s="81"/>
      <c r="C27" s="60"/>
      <c r="D27" s="83">
        <f t="shared" ref="D27:D40" si="2">SUM(E27:O27)</f>
        <v>0</v>
      </c>
      <c r="E27" s="84"/>
      <c r="F27" s="84"/>
      <c r="G27" s="84"/>
      <c r="H27" s="84"/>
      <c r="I27" s="84"/>
      <c r="J27" s="84"/>
      <c r="K27" s="84"/>
      <c r="L27" s="84"/>
      <c r="M27" s="84"/>
      <c r="N27" s="84"/>
      <c r="O27" s="86"/>
    </row>
    <row r="28" spans="1:15" x14ac:dyDescent="0.25">
      <c r="A28" s="80"/>
      <c r="B28" s="81"/>
      <c r="C28" s="60"/>
      <c r="D28" s="83">
        <f t="shared" si="2"/>
        <v>0</v>
      </c>
      <c r="E28" s="84"/>
      <c r="F28" s="84"/>
      <c r="G28" s="84"/>
      <c r="H28" s="84"/>
      <c r="I28" s="84"/>
      <c r="J28" s="84"/>
      <c r="K28" s="84"/>
      <c r="L28" s="84"/>
      <c r="M28" s="84"/>
      <c r="N28" s="84"/>
      <c r="O28" s="86"/>
    </row>
    <row r="29" spans="1:15" x14ac:dyDescent="0.25">
      <c r="A29" s="80"/>
      <c r="B29" s="81"/>
      <c r="C29" s="60"/>
      <c r="D29" s="83">
        <f t="shared" si="2"/>
        <v>0</v>
      </c>
      <c r="E29" s="84"/>
      <c r="F29" s="84"/>
      <c r="G29" s="84"/>
      <c r="H29" s="84"/>
      <c r="I29" s="84"/>
      <c r="J29" s="84"/>
      <c r="K29" s="84"/>
      <c r="L29" s="84"/>
      <c r="M29" s="84"/>
      <c r="N29" s="84"/>
      <c r="O29" s="86"/>
    </row>
    <row r="30" spans="1:15" x14ac:dyDescent="0.25">
      <c r="A30" s="80"/>
      <c r="B30" s="81"/>
      <c r="C30" s="60"/>
      <c r="D30" s="83">
        <f t="shared" si="2"/>
        <v>0</v>
      </c>
      <c r="E30" s="84"/>
      <c r="F30" s="84"/>
      <c r="G30" s="84"/>
      <c r="H30" s="84"/>
      <c r="I30" s="84"/>
      <c r="J30" s="84"/>
      <c r="K30" s="84"/>
      <c r="L30" s="84"/>
      <c r="M30" s="84"/>
      <c r="N30" s="84"/>
      <c r="O30" s="86"/>
    </row>
    <row r="31" spans="1:15" x14ac:dyDescent="0.25">
      <c r="A31" s="80"/>
      <c r="B31" s="81"/>
      <c r="C31" s="60"/>
      <c r="D31" s="83">
        <f t="shared" si="2"/>
        <v>0</v>
      </c>
      <c r="E31" s="84"/>
      <c r="F31" s="84"/>
      <c r="G31" s="84"/>
      <c r="H31" s="84"/>
      <c r="I31" s="84"/>
      <c r="J31" s="84"/>
      <c r="K31" s="84"/>
      <c r="L31" s="84"/>
      <c r="M31" s="84"/>
      <c r="N31" s="84"/>
      <c r="O31" s="86"/>
    </row>
    <row r="32" spans="1:15" x14ac:dyDescent="0.25">
      <c r="A32" s="80"/>
      <c r="B32" s="81"/>
      <c r="C32" s="60"/>
      <c r="D32" s="83">
        <f t="shared" si="2"/>
        <v>0</v>
      </c>
      <c r="E32" s="84"/>
      <c r="F32" s="84"/>
      <c r="G32" s="84"/>
      <c r="H32" s="84"/>
      <c r="I32" s="84"/>
      <c r="J32" s="84"/>
      <c r="K32" s="84"/>
      <c r="L32" s="84"/>
      <c r="M32" s="84"/>
      <c r="N32" s="84"/>
      <c r="O32" s="86"/>
    </row>
    <row r="33" spans="1:15" x14ac:dyDescent="0.25">
      <c r="A33" s="80"/>
      <c r="B33" s="81"/>
      <c r="C33" s="60"/>
      <c r="D33" s="83">
        <f t="shared" si="2"/>
        <v>0</v>
      </c>
      <c r="E33" s="84"/>
      <c r="F33" s="84"/>
      <c r="G33" s="84"/>
      <c r="H33" s="84"/>
      <c r="I33" s="84"/>
      <c r="J33" s="84"/>
      <c r="K33" s="84"/>
      <c r="L33" s="84"/>
      <c r="M33" s="84"/>
      <c r="N33" s="84"/>
      <c r="O33" s="86"/>
    </row>
    <row r="34" spans="1:15" x14ac:dyDescent="0.25">
      <c r="A34" s="80"/>
      <c r="B34" s="81"/>
      <c r="C34" s="60"/>
      <c r="D34" s="83">
        <f t="shared" si="2"/>
        <v>0</v>
      </c>
      <c r="E34" s="84"/>
      <c r="F34" s="84"/>
      <c r="G34" s="84"/>
      <c r="H34" s="84"/>
      <c r="I34" s="84"/>
      <c r="J34" s="84"/>
      <c r="K34" s="84"/>
      <c r="L34" s="84"/>
      <c r="M34" s="84"/>
      <c r="N34" s="84"/>
      <c r="O34" s="86"/>
    </row>
    <row r="35" spans="1:15" x14ac:dyDescent="0.25">
      <c r="A35" s="80"/>
      <c r="B35" s="81"/>
      <c r="C35" s="60"/>
      <c r="D35" s="83">
        <f t="shared" si="2"/>
        <v>0</v>
      </c>
      <c r="E35" s="84"/>
      <c r="F35" s="84"/>
      <c r="G35" s="84"/>
      <c r="H35" s="84"/>
      <c r="I35" s="84"/>
      <c r="J35" s="84"/>
      <c r="K35" s="84"/>
      <c r="L35" s="84"/>
      <c r="M35" s="84"/>
      <c r="N35" s="84"/>
      <c r="O35" s="86"/>
    </row>
    <row r="36" spans="1:15" x14ac:dyDescent="0.25">
      <c r="A36" s="80"/>
      <c r="B36" s="81"/>
      <c r="C36" s="60"/>
      <c r="D36" s="83">
        <f t="shared" si="2"/>
        <v>0</v>
      </c>
      <c r="E36" s="84"/>
      <c r="F36" s="84"/>
      <c r="G36" s="84"/>
      <c r="H36" s="84"/>
      <c r="I36" s="84"/>
      <c r="J36" s="84"/>
      <c r="K36" s="84"/>
      <c r="L36" s="84"/>
      <c r="M36" s="84"/>
      <c r="N36" s="84"/>
      <c r="O36" s="86"/>
    </row>
    <row r="37" spans="1:15" x14ac:dyDescent="0.25">
      <c r="A37" s="80"/>
      <c r="B37" s="81"/>
      <c r="C37" s="60"/>
      <c r="D37" s="83">
        <f t="shared" si="2"/>
        <v>0</v>
      </c>
      <c r="E37" s="84"/>
      <c r="F37" s="84"/>
      <c r="G37" s="84"/>
      <c r="H37" s="84"/>
      <c r="I37" s="84"/>
      <c r="J37" s="84"/>
      <c r="K37" s="84"/>
      <c r="L37" s="84"/>
      <c r="M37" s="84"/>
      <c r="N37" s="84"/>
      <c r="O37" s="86"/>
    </row>
    <row r="38" spans="1:15" x14ac:dyDescent="0.25">
      <c r="A38" s="80"/>
      <c r="B38" s="81"/>
      <c r="C38" s="60"/>
      <c r="D38" s="83">
        <f t="shared" si="2"/>
        <v>0</v>
      </c>
      <c r="E38" s="84"/>
      <c r="F38" s="84"/>
      <c r="G38" s="84"/>
      <c r="H38" s="84"/>
      <c r="I38" s="84"/>
      <c r="J38" s="84"/>
      <c r="K38" s="84"/>
      <c r="L38" s="84"/>
      <c r="M38" s="84"/>
      <c r="N38" s="84"/>
      <c r="O38" s="86"/>
    </row>
    <row r="39" spans="1:15" x14ac:dyDescent="0.25">
      <c r="A39" s="80"/>
      <c r="B39" s="81"/>
      <c r="C39" s="60"/>
      <c r="D39" s="83">
        <f t="shared" si="2"/>
        <v>0</v>
      </c>
      <c r="E39" s="84"/>
      <c r="F39" s="84"/>
      <c r="G39" s="84"/>
      <c r="H39" s="84"/>
      <c r="I39" s="84"/>
      <c r="J39" s="84"/>
      <c r="K39" s="84"/>
      <c r="L39" s="84"/>
      <c r="M39" s="84"/>
      <c r="N39" s="84"/>
      <c r="O39" s="86"/>
    </row>
    <row r="40" spans="1:15" x14ac:dyDescent="0.25">
      <c r="A40" s="80"/>
      <c r="B40" s="81"/>
      <c r="C40" s="60"/>
      <c r="D40" s="83">
        <f t="shared" si="2"/>
        <v>0</v>
      </c>
      <c r="E40" s="84"/>
      <c r="F40" s="84"/>
      <c r="G40" s="84"/>
      <c r="H40" s="84"/>
      <c r="I40" s="84"/>
      <c r="J40" s="84"/>
      <c r="K40" s="84"/>
      <c r="L40" s="84"/>
      <c r="M40" s="84"/>
      <c r="N40" s="84"/>
      <c r="O40" s="86"/>
    </row>
    <row r="41" spans="1:15" ht="13.8" thickBot="1" x14ac:dyDescent="0.3">
      <c r="A41" s="80"/>
      <c r="B41" s="81"/>
      <c r="C41" s="60"/>
      <c r="D41" s="83"/>
      <c r="E41" s="84"/>
      <c r="F41" s="84"/>
      <c r="G41" s="84"/>
      <c r="H41" s="84"/>
      <c r="I41" s="84"/>
      <c r="J41" s="84"/>
      <c r="K41" s="84"/>
      <c r="L41" s="84"/>
      <c r="M41" s="84"/>
      <c r="N41" s="84"/>
      <c r="O41" s="86"/>
    </row>
    <row r="42" spans="1:15" ht="16.2" thickBot="1" x14ac:dyDescent="0.3">
      <c r="A42" s="87"/>
      <c r="B42" s="88"/>
      <c r="C42" s="89" t="s">
        <v>17</v>
      </c>
      <c r="D42" s="90">
        <f t="shared" ref="D42:O42" si="3">SUM(D27:D41)</f>
        <v>0</v>
      </c>
      <c r="E42" s="91">
        <f t="shared" si="3"/>
        <v>0</v>
      </c>
      <c r="F42" s="91">
        <f t="shared" si="3"/>
        <v>0</v>
      </c>
      <c r="G42" s="91">
        <f t="shared" si="3"/>
        <v>0</v>
      </c>
      <c r="H42" s="91">
        <f t="shared" si="3"/>
        <v>0</v>
      </c>
      <c r="I42" s="91">
        <f t="shared" si="3"/>
        <v>0</v>
      </c>
      <c r="J42" s="91">
        <f t="shared" si="3"/>
        <v>0</v>
      </c>
      <c r="K42" s="91">
        <f>SUM(K27:K41)</f>
        <v>0</v>
      </c>
      <c r="L42" s="91">
        <f>SUM(L27:L41)</f>
        <v>0</v>
      </c>
      <c r="M42" s="91">
        <f t="shared" si="3"/>
        <v>0</v>
      </c>
      <c r="N42" s="91">
        <f t="shared" si="3"/>
        <v>0</v>
      </c>
      <c r="O42" s="92">
        <f t="shared" si="3"/>
        <v>0</v>
      </c>
    </row>
    <row r="43" spans="1:15" ht="13.8" x14ac:dyDescent="0.25">
      <c r="A43" s="87"/>
      <c r="B43" s="93"/>
      <c r="C43" s="93"/>
      <c r="D43" s="94" t="s">
        <v>26</v>
      </c>
      <c r="E43" s="93"/>
      <c r="F43" s="93"/>
      <c r="G43" s="93"/>
      <c r="H43" s="93"/>
      <c r="I43" s="93"/>
      <c r="J43" s="93"/>
      <c r="K43" s="93"/>
      <c r="L43" s="93"/>
      <c r="M43" s="93"/>
      <c r="N43" s="93"/>
      <c r="O43" s="108" t="s">
        <v>27</v>
      </c>
    </row>
    <row r="44" spans="1:15" ht="13.8" thickBot="1" x14ac:dyDescent="0.3">
      <c r="A44" s="97"/>
      <c r="B44" s="72"/>
      <c r="C44" s="72" t="s">
        <v>71</v>
      </c>
      <c r="D44" s="98">
        <f>SUM(E42:O42)-D42</f>
        <v>0</v>
      </c>
      <c r="E44" s="253" t="str">
        <f>IF(D44=0,"","ERROR - figures do not add across")</f>
        <v/>
      </c>
      <c r="F44" s="72"/>
      <c r="G44" s="72"/>
      <c r="H44" s="72"/>
      <c r="I44" s="72"/>
      <c r="J44" s="72"/>
      <c r="K44" s="72"/>
      <c r="L44" s="72"/>
      <c r="M44" s="72"/>
      <c r="N44" s="72"/>
      <c r="O44" s="99"/>
    </row>
    <row r="46" spans="1:15" ht="13.8" thickBot="1" x14ac:dyDescent="0.3"/>
    <row r="47" spans="1:15" ht="18" thickBot="1" x14ac:dyDescent="0.3">
      <c r="A47" s="109" t="s">
        <v>28</v>
      </c>
      <c r="B47" s="61"/>
      <c r="C47" s="61"/>
      <c r="D47" s="110"/>
      <c r="E47" s="239" t="s">
        <v>10</v>
      </c>
      <c r="F47" s="70">
        <f>O3</f>
        <v>40782</v>
      </c>
      <c r="H47" s="109" t="s">
        <v>132</v>
      </c>
      <c r="I47" s="61"/>
      <c r="J47" s="61"/>
      <c r="K47" s="68"/>
      <c r="L47" s="68"/>
      <c r="M47" s="68"/>
      <c r="N47" s="239" t="s">
        <v>10</v>
      </c>
      <c r="O47" s="70">
        <f>F47</f>
        <v>40782</v>
      </c>
    </row>
    <row r="48" spans="1:15" x14ac:dyDescent="0.25">
      <c r="A48" s="102"/>
      <c r="B48" s="93"/>
      <c r="C48" s="93"/>
      <c r="D48" s="93"/>
      <c r="E48" s="93"/>
      <c r="F48" s="103"/>
      <c r="H48" s="102"/>
      <c r="I48" s="93"/>
      <c r="J48" s="93"/>
      <c r="K48" s="93"/>
      <c r="L48" s="93"/>
      <c r="M48" s="93"/>
      <c r="N48" s="93"/>
      <c r="O48" s="103"/>
    </row>
    <row r="49" spans="1:15" x14ac:dyDescent="0.25">
      <c r="A49" s="111" t="s">
        <v>29</v>
      </c>
      <c r="B49" s="93"/>
      <c r="C49" s="93"/>
      <c r="D49" s="93"/>
      <c r="E49" s="83">
        <f>'Month 4'!E53</f>
        <v>0</v>
      </c>
      <c r="F49" s="103"/>
      <c r="H49" s="112"/>
      <c r="I49" s="93"/>
      <c r="J49" s="93"/>
      <c r="K49" s="93"/>
      <c r="L49" s="93"/>
      <c r="M49" s="93"/>
      <c r="N49" s="93"/>
      <c r="O49" s="103"/>
    </row>
    <row r="50" spans="1:15" ht="14.4" thickBot="1" x14ac:dyDescent="0.3">
      <c r="A50" s="111" t="s">
        <v>30</v>
      </c>
      <c r="B50" s="93"/>
      <c r="C50" s="94"/>
      <c r="D50" s="94" t="s">
        <v>18</v>
      </c>
      <c r="E50" s="113">
        <f>+D19</f>
        <v>0</v>
      </c>
      <c r="F50" s="103"/>
      <c r="H50" s="112" t="s">
        <v>29</v>
      </c>
      <c r="I50" s="93"/>
      <c r="J50" s="93"/>
      <c r="K50" s="93"/>
      <c r="L50" s="93"/>
      <c r="N50" s="114">
        <f>'Month 4'!N56</f>
        <v>0</v>
      </c>
      <c r="O50" s="103"/>
    </row>
    <row r="51" spans="1:15" ht="13.8" x14ac:dyDescent="0.25">
      <c r="A51" s="111"/>
      <c r="B51" s="93"/>
      <c r="C51" s="94"/>
      <c r="D51" s="94"/>
      <c r="E51" s="83">
        <f>SUM(E49:E50)</f>
        <v>0</v>
      </c>
      <c r="F51" s="103"/>
      <c r="H51" s="112"/>
      <c r="I51" s="93"/>
      <c r="J51" s="93"/>
      <c r="K51" s="93"/>
      <c r="L51" s="93"/>
      <c r="N51" s="114"/>
      <c r="O51" s="103"/>
    </row>
    <row r="52" spans="1:15" ht="14.4" thickBot="1" x14ac:dyDescent="0.3">
      <c r="A52" s="111" t="s">
        <v>59</v>
      </c>
      <c r="B52" s="93"/>
      <c r="C52" s="94"/>
      <c r="D52" s="94" t="s">
        <v>26</v>
      </c>
      <c r="E52" s="83">
        <f>+D42</f>
        <v>0</v>
      </c>
      <c r="F52" s="103"/>
      <c r="H52" s="112" t="s">
        <v>133</v>
      </c>
      <c r="I52" s="93"/>
      <c r="J52" s="93"/>
      <c r="K52" s="93"/>
      <c r="L52" s="93"/>
      <c r="N52" s="114">
        <f>L42</f>
        <v>0</v>
      </c>
      <c r="O52" s="103"/>
    </row>
    <row r="53" spans="1:15" ht="14.4" thickBot="1" x14ac:dyDescent="0.3">
      <c r="A53" s="111" t="s">
        <v>31</v>
      </c>
      <c r="B53" s="94"/>
      <c r="C53" s="94"/>
      <c r="D53" s="108" t="s">
        <v>32</v>
      </c>
      <c r="E53" s="115">
        <f>SUM(E51-E52)</f>
        <v>0</v>
      </c>
      <c r="F53" s="103"/>
      <c r="H53" s="112"/>
      <c r="I53" s="93"/>
      <c r="J53" s="93"/>
      <c r="K53" s="93"/>
      <c r="L53" s="93"/>
      <c r="N53" s="114"/>
      <c r="O53" s="103"/>
    </row>
    <row r="54" spans="1:15" ht="13.8" thickBot="1" x14ac:dyDescent="0.3">
      <c r="A54" s="102"/>
      <c r="B54" s="93"/>
      <c r="C54" s="93"/>
      <c r="D54" s="93"/>
      <c r="E54" s="93"/>
      <c r="F54" s="103"/>
      <c r="H54" s="112" t="s">
        <v>134</v>
      </c>
      <c r="I54" s="93"/>
      <c r="J54" s="93"/>
      <c r="K54" s="93"/>
      <c r="L54" s="93"/>
      <c r="N54" s="114">
        <f>-D88</f>
        <v>0</v>
      </c>
      <c r="O54" s="103"/>
    </row>
    <row r="55" spans="1:15" ht="18" thickBot="1" x14ac:dyDescent="0.3">
      <c r="A55" s="116" t="s">
        <v>33</v>
      </c>
      <c r="B55" s="117"/>
      <c r="C55" s="61"/>
      <c r="D55" s="118"/>
      <c r="E55" s="93"/>
      <c r="F55" s="103"/>
      <c r="H55" s="112"/>
      <c r="I55" s="93"/>
      <c r="J55" s="93"/>
      <c r="K55" s="93"/>
      <c r="L55" s="93"/>
      <c r="N55" s="114"/>
      <c r="O55" s="103"/>
    </row>
    <row r="56" spans="1:15" ht="13.8" thickBot="1" x14ac:dyDescent="0.3">
      <c r="A56" s="102"/>
      <c r="B56" s="93"/>
      <c r="C56" s="93"/>
      <c r="D56" s="93"/>
      <c r="E56" s="93"/>
      <c r="F56" s="103"/>
      <c r="H56" s="112" t="s">
        <v>31</v>
      </c>
      <c r="I56" s="93"/>
      <c r="J56" s="93"/>
      <c r="K56" s="93"/>
      <c r="L56" s="93"/>
      <c r="N56" s="119">
        <f>SUM(N50:N55)</f>
        <v>0</v>
      </c>
      <c r="O56" s="103"/>
    </row>
    <row r="57" spans="1:15" ht="13.8" thickBot="1" x14ac:dyDescent="0.3">
      <c r="A57" s="111" t="s">
        <v>34</v>
      </c>
      <c r="B57" s="93"/>
      <c r="C57" s="120"/>
      <c r="D57" s="121"/>
      <c r="E57" s="122"/>
      <c r="F57" s="103"/>
      <c r="H57" s="102"/>
      <c r="I57" s="93"/>
      <c r="J57" s="93"/>
      <c r="K57" s="93"/>
      <c r="L57" s="93"/>
      <c r="M57" s="93"/>
      <c r="N57" s="93"/>
      <c r="O57" s="103"/>
    </row>
    <row r="58" spans="1:15" x14ac:dyDescent="0.25">
      <c r="A58" s="111"/>
      <c r="B58" s="93"/>
      <c r="C58" s="120"/>
      <c r="D58" s="121"/>
      <c r="E58" s="83"/>
      <c r="F58" s="103"/>
      <c r="H58" s="102"/>
      <c r="I58" s="93"/>
      <c r="J58" s="93"/>
      <c r="K58" s="93"/>
      <c r="L58" s="93"/>
      <c r="M58" s="93"/>
      <c r="N58" s="93"/>
      <c r="O58" s="103"/>
    </row>
    <row r="59" spans="1:15" x14ac:dyDescent="0.25">
      <c r="A59" s="111" t="s">
        <v>35</v>
      </c>
      <c r="B59" s="93"/>
      <c r="C59" s="120"/>
      <c r="D59" s="123"/>
      <c r="E59" s="83"/>
      <c r="F59" s="103"/>
      <c r="H59" s="102"/>
      <c r="I59" s="93"/>
      <c r="J59" s="93"/>
      <c r="K59" s="93"/>
      <c r="L59" s="93"/>
      <c r="M59" s="93"/>
      <c r="N59" s="93"/>
      <c r="O59" s="103"/>
    </row>
    <row r="60" spans="1:15" x14ac:dyDescent="0.25">
      <c r="A60" s="124"/>
      <c r="B60" s="52"/>
      <c r="C60" s="125"/>
      <c r="D60" s="126"/>
      <c r="E60" s="83"/>
      <c r="F60" s="103"/>
      <c r="H60" s="102"/>
      <c r="I60" s="93"/>
      <c r="J60" s="93"/>
      <c r="K60" s="93"/>
      <c r="L60" s="93"/>
      <c r="M60" s="93"/>
      <c r="N60" s="93"/>
      <c r="O60" s="103"/>
    </row>
    <row r="61" spans="1:15" ht="13.8" thickBot="1" x14ac:dyDescent="0.3">
      <c r="A61" s="124"/>
      <c r="B61" s="52"/>
      <c r="C61" s="125"/>
      <c r="D61" s="126"/>
      <c r="E61" s="127">
        <f>SUM(D59:D61)</f>
        <v>0</v>
      </c>
      <c r="F61" s="103"/>
      <c r="H61" s="102"/>
      <c r="I61" s="93"/>
      <c r="J61" s="93"/>
      <c r="K61" s="93"/>
      <c r="L61" s="93"/>
      <c r="M61" s="93"/>
      <c r="N61" s="93"/>
      <c r="O61" s="103"/>
    </row>
    <row r="62" spans="1:15" x14ac:dyDescent="0.25">
      <c r="A62" s="111"/>
      <c r="B62" s="93"/>
      <c r="C62" s="120"/>
      <c r="D62" s="123"/>
      <c r="E62" s="83">
        <f>SUM(E57:E61)</f>
        <v>0</v>
      </c>
      <c r="F62" s="103"/>
      <c r="H62" s="102"/>
      <c r="I62" s="93"/>
      <c r="J62" s="93"/>
      <c r="K62" s="93"/>
      <c r="L62" s="93"/>
      <c r="M62" s="93"/>
      <c r="N62" s="93"/>
      <c r="O62" s="103"/>
    </row>
    <row r="63" spans="1:15" x14ac:dyDescent="0.25">
      <c r="A63" s="111" t="s">
        <v>36</v>
      </c>
      <c r="B63" s="93"/>
      <c r="C63" s="128"/>
      <c r="D63" s="129"/>
      <c r="E63" s="83"/>
      <c r="F63" s="103"/>
      <c r="H63" s="102"/>
      <c r="I63" s="93"/>
      <c r="J63" s="93"/>
      <c r="K63" s="93"/>
      <c r="L63" s="93"/>
      <c r="M63" s="93"/>
      <c r="N63" s="93"/>
      <c r="O63" s="103"/>
    </row>
    <row r="64" spans="1:15" x14ac:dyDescent="0.25">
      <c r="A64" s="124"/>
      <c r="B64" s="52"/>
      <c r="C64" s="60"/>
      <c r="D64" s="130"/>
      <c r="E64" s="83"/>
      <c r="F64" s="103"/>
      <c r="H64" s="102"/>
      <c r="I64" s="93"/>
      <c r="J64" s="93"/>
      <c r="K64" s="93"/>
      <c r="L64" s="93"/>
      <c r="M64" s="93"/>
      <c r="N64" s="93"/>
      <c r="O64" s="103"/>
    </row>
    <row r="65" spans="1:15" x14ac:dyDescent="0.25">
      <c r="A65" s="124"/>
      <c r="B65" s="52"/>
      <c r="C65" s="60"/>
      <c r="D65" s="130"/>
      <c r="E65" s="83"/>
      <c r="F65" s="103"/>
      <c r="H65" s="102"/>
      <c r="I65" s="93"/>
      <c r="J65" s="93"/>
      <c r="K65" s="93"/>
      <c r="L65" s="93"/>
      <c r="M65" s="93"/>
      <c r="N65" s="93"/>
      <c r="O65" s="103"/>
    </row>
    <row r="66" spans="1:15" ht="13.8" thickBot="1" x14ac:dyDescent="0.3">
      <c r="A66" s="124"/>
      <c r="B66" s="52"/>
      <c r="C66" s="125"/>
      <c r="D66" s="126"/>
      <c r="E66" s="83">
        <f>SUM(D63:D66)</f>
        <v>0</v>
      </c>
      <c r="F66" s="103"/>
      <c r="H66" s="102"/>
      <c r="I66" s="93"/>
      <c r="J66" s="93"/>
      <c r="K66" s="93"/>
      <c r="L66" s="93"/>
      <c r="M66" s="93"/>
      <c r="N66" s="93"/>
      <c r="O66" s="103"/>
    </row>
    <row r="67" spans="1:15" ht="16.2" thickBot="1" x14ac:dyDescent="0.3">
      <c r="A67" s="131" t="s">
        <v>37</v>
      </c>
      <c r="B67" s="132"/>
      <c r="C67" s="132"/>
      <c r="D67" s="132" t="s">
        <v>32</v>
      </c>
      <c r="E67" s="115">
        <f>SUM(E62-E66)</f>
        <v>0</v>
      </c>
      <c r="F67" s="99"/>
      <c r="H67" s="133"/>
      <c r="I67" s="72"/>
      <c r="J67" s="72"/>
      <c r="K67" s="72"/>
      <c r="L67" s="72"/>
      <c r="M67" s="72"/>
      <c r="N67" s="72"/>
      <c r="O67" s="99"/>
    </row>
    <row r="69" spans="1:15" ht="13.8" thickBot="1" x14ac:dyDescent="0.3"/>
    <row r="70" spans="1:15" ht="18" thickBot="1" x14ac:dyDescent="0.3">
      <c r="A70" s="100" t="s">
        <v>38</v>
      </c>
      <c r="B70" s="101"/>
      <c r="C70" s="61"/>
      <c r="D70" s="68"/>
      <c r="E70" s="68"/>
      <c r="F70" s="68"/>
      <c r="G70" s="68"/>
      <c r="H70" s="68"/>
      <c r="I70" s="68"/>
      <c r="J70" s="68"/>
      <c r="K70" s="68"/>
      <c r="L70" s="68"/>
      <c r="M70" s="68"/>
      <c r="N70" s="239" t="s">
        <v>10</v>
      </c>
      <c r="O70" s="70">
        <f>O3</f>
        <v>40782</v>
      </c>
    </row>
    <row r="71" spans="1:15" ht="13.8" thickBot="1" x14ac:dyDescent="0.3">
      <c r="A71" s="102"/>
      <c r="B71" s="93"/>
      <c r="C71" s="93"/>
      <c r="D71" s="93"/>
      <c r="E71" s="93"/>
      <c r="F71" s="93"/>
      <c r="G71" s="93"/>
      <c r="H71" s="93"/>
      <c r="I71" s="93"/>
      <c r="J71" s="93"/>
      <c r="K71" s="93"/>
      <c r="L71" s="93"/>
      <c r="M71" s="93"/>
      <c r="N71" s="93"/>
      <c r="O71" s="103"/>
    </row>
    <row r="72" spans="1:15" s="79" customFormat="1" ht="27" customHeight="1" thickBot="1" x14ac:dyDescent="0.3">
      <c r="A72" s="74" t="s">
        <v>12</v>
      </c>
      <c r="B72" s="75" t="s">
        <v>129</v>
      </c>
      <c r="C72" s="105" t="s">
        <v>123</v>
      </c>
      <c r="D72" s="106" t="s">
        <v>64</v>
      </c>
      <c r="E72" s="107" t="str">
        <f>'Month 4'!E72</f>
        <v>Motor &amp; Travel</v>
      </c>
      <c r="F72" s="107" t="str">
        <f>'Month 4'!F72</f>
        <v>Print, Post Stationery</v>
      </c>
      <c r="G72" s="107" t="str">
        <f>'Month 4'!G72</f>
        <v>Subsist Accom</v>
      </c>
      <c r="H72" s="107" t="str">
        <f>'Month 4'!H72</f>
        <v>Software &amp; Materials</v>
      </c>
      <c r="I72" s="77" t="str">
        <f>'Month 4'!I72</f>
        <v>Books &amp; Magazines</v>
      </c>
      <c r="J72" s="107" t="str">
        <f>'Month 4'!J72</f>
        <v>Mobile &amp; Telephone</v>
      </c>
      <c r="K72" s="107" t="str">
        <f>'Month 4'!K72</f>
        <v xml:space="preserve"> </v>
      </c>
      <c r="L72" s="107" t="str">
        <f>'Month 4'!L72</f>
        <v xml:space="preserve"> </v>
      </c>
      <c r="M72" s="107" t="str">
        <f>'Month 4'!M72</f>
        <v xml:space="preserve"> </v>
      </c>
      <c r="N72" s="107" t="str">
        <f>'Month 4'!N72</f>
        <v>Sundries</v>
      </c>
      <c r="O72" s="134" t="s">
        <v>142</v>
      </c>
    </row>
    <row r="73" spans="1:15" x14ac:dyDescent="0.25">
      <c r="A73" s="80"/>
      <c r="B73" s="81"/>
      <c r="C73" s="60"/>
      <c r="D73" s="83">
        <f t="shared" ref="D73:D86" si="4">SUM(E73:O73)</f>
        <v>0</v>
      </c>
      <c r="E73" s="84"/>
      <c r="F73" s="84"/>
      <c r="G73" s="84"/>
      <c r="H73" s="84"/>
      <c r="I73" s="84"/>
      <c r="J73" s="84"/>
      <c r="K73" s="84"/>
      <c r="L73" s="84"/>
      <c r="M73" s="84"/>
      <c r="N73" s="84"/>
      <c r="O73" s="86"/>
    </row>
    <row r="74" spans="1:15" x14ac:dyDescent="0.25">
      <c r="A74" s="80"/>
      <c r="B74" s="81"/>
      <c r="C74" s="60"/>
      <c r="D74" s="83">
        <f t="shared" si="4"/>
        <v>0</v>
      </c>
      <c r="E74" s="84"/>
      <c r="F74" s="84"/>
      <c r="G74" s="84"/>
      <c r="H74" s="84"/>
      <c r="I74" s="84"/>
      <c r="J74" s="84"/>
      <c r="K74" s="84"/>
      <c r="L74" s="84"/>
      <c r="M74" s="84"/>
      <c r="N74" s="84"/>
      <c r="O74" s="86"/>
    </row>
    <row r="75" spans="1:15" x14ac:dyDescent="0.25">
      <c r="A75" s="80"/>
      <c r="B75" s="81"/>
      <c r="C75" s="60"/>
      <c r="D75" s="83">
        <f t="shared" si="4"/>
        <v>0</v>
      </c>
      <c r="E75" s="84"/>
      <c r="F75" s="84"/>
      <c r="G75" s="84"/>
      <c r="H75" s="84"/>
      <c r="I75" s="84"/>
      <c r="J75" s="84"/>
      <c r="K75" s="84"/>
      <c r="L75" s="84"/>
      <c r="M75" s="84"/>
      <c r="N75" s="84"/>
      <c r="O75" s="86"/>
    </row>
    <row r="76" spans="1:15" x14ac:dyDescent="0.25">
      <c r="A76" s="80"/>
      <c r="B76" s="81"/>
      <c r="C76" s="60"/>
      <c r="D76" s="83">
        <f t="shared" si="4"/>
        <v>0</v>
      </c>
      <c r="E76" s="84"/>
      <c r="F76" s="84"/>
      <c r="G76" s="84"/>
      <c r="H76" s="84"/>
      <c r="I76" s="84"/>
      <c r="J76" s="84"/>
      <c r="K76" s="84"/>
      <c r="L76" s="84"/>
      <c r="M76" s="84"/>
      <c r="N76" s="84"/>
      <c r="O76" s="86"/>
    </row>
    <row r="77" spans="1:15" x14ac:dyDescent="0.25">
      <c r="A77" s="80"/>
      <c r="B77" s="81"/>
      <c r="C77" s="60"/>
      <c r="D77" s="83">
        <f t="shared" si="4"/>
        <v>0</v>
      </c>
      <c r="E77" s="84"/>
      <c r="F77" s="84"/>
      <c r="G77" s="84"/>
      <c r="H77" s="84"/>
      <c r="I77" s="84"/>
      <c r="J77" s="84"/>
      <c r="K77" s="84"/>
      <c r="L77" s="84"/>
      <c r="M77" s="84"/>
      <c r="N77" s="84"/>
      <c r="O77" s="86"/>
    </row>
    <row r="78" spans="1:15" x14ac:dyDescent="0.25">
      <c r="A78" s="80"/>
      <c r="B78" s="81"/>
      <c r="C78" s="60"/>
      <c r="D78" s="83">
        <f t="shared" si="4"/>
        <v>0</v>
      </c>
      <c r="E78" s="84"/>
      <c r="F78" s="84"/>
      <c r="G78" s="84"/>
      <c r="H78" s="84"/>
      <c r="I78" s="84"/>
      <c r="J78" s="84"/>
      <c r="K78" s="84"/>
      <c r="L78" s="84"/>
      <c r="M78" s="84"/>
      <c r="N78" s="84"/>
      <c r="O78" s="86"/>
    </row>
    <row r="79" spans="1:15" x14ac:dyDescent="0.25">
      <c r="A79" s="80"/>
      <c r="B79" s="81"/>
      <c r="C79" s="60"/>
      <c r="D79" s="83">
        <f t="shared" si="4"/>
        <v>0</v>
      </c>
      <c r="E79" s="84"/>
      <c r="F79" s="84"/>
      <c r="G79" s="84"/>
      <c r="H79" s="84"/>
      <c r="I79" s="84"/>
      <c r="J79" s="84"/>
      <c r="K79" s="84"/>
      <c r="L79" s="84"/>
      <c r="M79" s="84"/>
      <c r="N79" s="84"/>
      <c r="O79" s="86"/>
    </row>
    <row r="80" spans="1:15" x14ac:dyDescent="0.25">
      <c r="A80" s="80"/>
      <c r="B80" s="81"/>
      <c r="C80" s="60"/>
      <c r="D80" s="83">
        <f t="shared" si="4"/>
        <v>0</v>
      </c>
      <c r="E80" s="84"/>
      <c r="F80" s="84"/>
      <c r="G80" s="84"/>
      <c r="H80" s="84"/>
      <c r="I80" s="84"/>
      <c r="J80" s="84"/>
      <c r="K80" s="84"/>
      <c r="L80" s="84"/>
      <c r="M80" s="84"/>
      <c r="N80" s="84"/>
      <c r="O80" s="86"/>
    </row>
    <row r="81" spans="1:15" x14ac:dyDescent="0.25">
      <c r="A81" s="80"/>
      <c r="B81" s="81"/>
      <c r="C81" s="60"/>
      <c r="D81" s="83">
        <f t="shared" si="4"/>
        <v>0</v>
      </c>
      <c r="E81" s="84"/>
      <c r="F81" s="84"/>
      <c r="G81" s="84"/>
      <c r="H81" s="84"/>
      <c r="I81" s="84"/>
      <c r="J81" s="84"/>
      <c r="K81" s="84"/>
      <c r="L81" s="84"/>
      <c r="M81" s="84"/>
      <c r="N81" s="84"/>
      <c r="O81" s="86"/>
    </row>
    <row r="82" spans="1:15" x14ac:dyDescent="0.25">
      <c r="A82" s="80"/>
      <c r="B82" s="81"/>
      <c r="C82" s="60"/>
      <c r="D82" s="83">
        <f t="shared" si="4"/>
        <v>0</v>
      </c>
      <c r="E82" s="84"/>
      <c r="F82" s="84"/>
      <c r="G82" s="84"/>
      <c r="H82" s="84"/>
      <c r="I82" s="84"/>
      <c r="J82" s="84"/>
      <c r="K82" s="84"/>
      <c r="L82" s="84"/>
      <c r="M82" s="84"/>
      <c r="N82" s="84"/>
      <c r="O82" s="86"/>
    </row>
    <row r="83" spans="1:15" x14ac:dyDescent="0.25">
      <c r="A83" s="80"/>
      <c r="B83" s="81"/>
      <c r="C83" s="60"/>
      <c r="D83" s="83">
        <f t="shared" si="4"/>
        <v>0</v>
      </c>
      <c r="E83" s="84"/>
      <c r="F83" s="84"/>
      <c r="G83" s="84"/>
      <c r="H83" s="84"/>
      <c r="I83" s="84"/>
      <c r="J83" s="84"/>
      <c r="K83" s="84"/>
      <c r="L83" s="84"/>
      <c r="M83" s="84"/>
      <c r="N83" s="84"/>
      <c r="O83" s="86"/>
    </row>
    <row r="84" spans="1:15" x14ac:dyDescent="0.25">
      <c r="A84" s="80"/>
      <c r="B84" s="81"/>
      <c r="C84" s="60"/>
      <c r="D84" s="83">
        <f t="shared" si="4"/>
        <v>0</v>
      </c>
      <c r="E84" s="84"/>
      <c r="F84" s="84"/>
      <c r="G84" s="84"/>
      <c r="H84" s="84"/>
      <c r="I84" s="84"/>
      <c r="J84" s="84"/>
      <c r="K84" s="84"/>
      <c r="L84" s="84"/>
      <c r="M84" s="84"/>
      <c r="N84" s="84"/>
      <c r="O84" s="86"/>
    </row>
    <row r="85" spans="1:15" x14ac:dyDescent="0.25">
      <c r="A85" s="80"/>
      <c r="B85" s="81"/>
      <c r="C85" s="60"/>
      <c r="D85" s="83">
        <f t="shared" si="4"/>
        <v>0</v>
      </c>
      <c r="E85" s="84"/>
      <c r="F85" s="84"/>
      <c r="G85" s="84"/>
      <c r="H85" s="84"/>
      <c r="I85" s="84"/>
      <c r="J85" s="84"/>
      <c r="K85" s="84"/>
      <c r="L85" s="84"/>
      <c r="M85" s="84"/>
      <c r="N85" s="84"/>
      <c r="O85" s="86"/>
    </row>
    <row r="86" spans="1:15" x14ac:dyDescent="0.25">
      <c r="A86" s="135"/>
      <c r="B86" s="81"/>
      <c r="C86" s="60"/>
      <c r="D86" s="83">
        <f t="shared" si="4"/>
        <v>0</v>
      </c>
      <c r="E86" s="84"/>
      <c r="F86" s="84"/>
      <c r="G86" s="84"/>
      <c r="H86" s="84"/>
      <c r="I86" s="84"/>
      <c r="J86" s="84"/>
      <c r="K86" s="84"/>
      <c r="L86" s="84"/>
      <c r="M86" s="84"/>
      <c r="N86" s="84"/>
      <c r="O86" s="86"/>
    </row>
    <row r="87" spans="1:15" ht="13.8" thickBot="1" x14ac:dyDescent="0.3">
      <c r="A87" s="80"/>
      <c r="B87" s="81"/>
      <c r="C87" s="60"/>
      <c r="D87" s="83"/>
      <c r="E87" s="84" t="s">
        <v>11</v>
      </c>
      <c r="F87" s="84"/>
      <c r="G87" s="84"/>
      <c r="H87" s="84"/>
      <c r="I87" s="84"/>
      <c r="J87" s="84"/>
      <c r="K87" s="84"/>
      <c r="L87" s="84"/>
      <c r="M87" s="84"/>
      <c r="N87" s="84"/>
      <c r="O87" s="86"/>
    </row>
    <row r="88" spans="1:15" ht="16.2" thickBot="1" x14ac:dyDescent="0.3">
      <c r="A88" s="87"/>
      <c r="B88" s="88"/>
      <c r="C88" s="89" t="s">
        <v>17</v>
      </c>
      <c r="D88" s="90">
        <f t="shared" ref="D88:J88" si="5">SUM(D73:D87)</f>
        <v>0</v>
      </c>
      <c r="E88" s="91">
        <f t="shared" si="5"/>
        <v>0</v>
      </c>
      <c r="F88" s="91">
        <f t="shared" si="5"/>
        <v>0</v>
      </c>
      <c r="G88" s="91">
        <f t="shared" si="5"/>
        <v>0</v>
      </c>
      <c r="H88" s="91">
        <f t="shared" si="5"/>
        <v>0</v>
      </c>
      <c r="I88" s="91">
        <f t="shared" si="5"/>
        <v>0</v>
      </c>
      <c r="J88" s="91">
        <f t="shared" si="5"/>
        <v>0</v>
      </c>
      <c r="K88" s="91">
        <f>SUM(K73:K87)</f>
        <v>0</v>
      </c>
      <c r="L88" s="91">
        <f>SUM(L73:L87)</f>
        <v>0</v>
      </c>
      <c r="M88" s="91">
        <f>SUM(M73:M87)</f>
        <v>0</v>
      </c>
      <c r="N88" s="91">
        <f>SUM(N73:N87)</f>
        <v>0</v>
      </c>
      <c r="O88" s="92">
        <f>SUM(O73:O87)</f>
        <v>0</v>
      </c>
    </row>
    <row r="89" spans="1:15" ht="15.6" x14ac:dyDescent="0.25">
      <c r="A89" s="87"/>
      <c r="B89" s="93"/>
      <c r="C89" s="93"/>
      <c r="D89" s="93"/>
      <c r="E89" s="93"/>
      <c r="F89" s="93"/>
      <c r="G89" s="93"/>
      <c r="H89" s="93"/>
      <c r="I89" s="93"/>
      <c r="J89" s="93"/>
      <c r="K89" s="93"/>
      <c r="L89" s="93"/>
      <c r="M89" s="93"/>
      <c r="N89" s="93"/>
      <c r="O89" s="136" t="s">
        <v>41</v>
      </c>
    </row>
    <row r="90" spans="1:15" ht="16.2" thickBot="1" x14ac:dyDescent="0.3">
      <c r="A90" s="97"/>
      <c r="B90" s="72"/>
      <c r="C90" s="72" t="s">
        <v>71</v>
      </c>
      <c r="D90" s="98">
        <f>SUM(E88:O88)-D88</f>
        <v>0</v>
      </c>
      <c r="E90" s="253" t="str">
        <f>IF(D90=0,"","ERROR - figures do not add across")</f>
        <v/>
      </c>
      <c r="F90" s="72"/>
      <c r="G90" s="72"/>
      <c r="H90" s="72"/>
      <c r="I90" s="72"/>
      <c r="J90" s="72"/>
      <c r="K90" s="72"/>
      <c r="L90" s="72"/>
      <c r="M90" s="72"/>
      <c r="N90" s="72"/>
      <c r="O90" s="137"/>
    </row>
  </sheetData>
  <customSheetViews>
    <customSheetView guid="{93A5533C-1BF0-4CFD-B527-DBAD1AD08F71}" fitToPage="1" showRuler="0">
      <selection activeCell="B13" sqref="B13"/>
      <pageMargins left="0.59055118110236227" right="0.15748031496062992" top="0.59055118110236227" bottom="0.59055118110236227" header="0.31496062992125984" footer="0.31496062992125984"/>
      <printOptions horizontalCentered="1"/>
      <pageSetup paperSize="9" scale="58" orientation="portrait" r:id="rId1"/>
      <headerFooter alignWithMargins="0">
        <oddHeader>&amp;C&amp;A</oddHeader>
        <oddFooter>&amp;L&amp;F&amp;CPage &amp;P&amp;R&amp;D</oddFooter>
      </headerFooter>
    </customSheetView>
  </customSheetViews>
  <phoneticPr fontId="0" type="noConversion"/>
  <printOptions horizontalCentered="1"/>
  <pageMargins left="0.59055118110236227" right="0.39370078740157483" top="0.59055118110236227" bottom="0.59055118110236227" header="0.31496062992125984" footer="0.31496062992125984"/>
  <pageSetup paperSize="9" scale="59" orientation="portrait" r:id="rId2"/>
  <headerFooter alignWithMargins="0">
    <oddHeader>&amp;C&amp;A</oddHeader>
    <oddFooter>&amp;L&amp;Z&amp;F\&amp;A&amp;CPage &amp;P&amp;R&amp;D  &amp;T</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O90"/>
  <sheetViews>
    <sheetView zoomScale="85" workbookViewId="0">
      <selection activeCell="A7" sqref="A7"/>
    </sheetView>
  </sheetViews>
  <sheetFormatPr defaultColWidth="9.109375" defaultRowHeight="13.2" x14ac:dyDescent="0.25"/>
  <cols>
    <col min="1" max="1" width="10" style="66" customWidth="1"/>
    <col min="2" max="2" width="4.5546875" style="66" customWidth="1"/>
    <col min="3" max="3" width="25.6640625" style="66" customWidth="1"/>
    <col min="4" max="4" width="10.109375" style="66" customWidth="1"/>
    <col min="5" max="5" width="10" style="66" bestFit="1" customWidth="1"/>
    <col min="6" max="6" width="12.5546875" style="66" bestFit="1" customWidth="1"/>
    <col min="7" max="7" width="9.88671875" style="66" bestFit="1" customWidth="1"/>
    <col min="8" max="8" width="11.44140625" style="66" bestFit="1" customWidth="1"/>
    <col min="9" max="9" width="10.88671875" style="66" bestFit="1" customWidth="1"/>
    <col min="10" max="10" width="10.6640625" style="66" bestFit="1" customWidth="1"/>
    <col min="11" max="11" width="9.109375" style="66"/>
    <col min="12" max="12" width="7.109375" style="66" customWidth="1"/>
    <col min="13" max="13" width="8.88671875" style="66" customWidth="1"/>
    <col min="14" max="14" width="9.88671875" style="66" bestFit="1" customWidth="1"/>
    <col min="15" max="15" width="9.5546875" style="66" bestFit="1" customWidth="1"/>
    <col min="16" max="16384" width="9.109375" style="66"/>
  </cols>
  <sheetData>
    <row r="1" spans="1:15" ht="16.2" thickBot="1" x14ac:dyDescent="0.3">
      <c r="A1" s="63" t="str">
        <f>'Company Info'!B5</f>
        <v>ABC Limited</v>
      </c>
      <c r="B1" s="64"/>
      <c r="C1" s="64"/>
      <c r="D1" s="65"/>
    </row>
    <row r="2" spans="1:15" ht="13.8" thickBot="1" x14ac:dyDescent="0.3"/>
    <row r="3" spans="1:15" ht="18" thickBot="1" x14ac:dyDescent="0.3">
      <c r="A3" s="67" t="s">
        <v>9</v>
      </c>
      <c r="B3" s="61"/>
      <c r="C3" s="61"/>
      <c r="D3" s="68"/>
      <c r="E3" s="68"/>
      <c r="F3" s="68"/>
      <c r="G3" s="68"/>
      <c r="H3" s="68"/>
      <c r="I3" s="68"/>
      <c r="J3" s="68"/>
      <c r="K3" s="68"/>
      <c r="L3" s="68"/>
      <c r="M3" s="68"/>
      <c r="N3" s="239" t="s">
        <v>10</v>
      </c>
      <c r="O3" s="70">
        <f>'Month 7'!O3-31</f>
        <v>40813</v>
      </c>
    </row>
    <row r="4" spans="1:15" ht="13.8" thickBot="1" x14ac:dyDescent="0.3">
      <c r="A4" s="71"/>
      <c r="B4" s="68"/>
      <c r="C4" s="68"/>
      <c r="D4" s="72"/>
      <c r="E4" s="72"/>
      <c r="F4" s="72"/>
      <c r="G4" s="72"/>
      <c r="H4" s="72"/>
      <c r="N4" s="68"/>
      <c r="O4" s="73"/>
    </row>
    <row r="5" spans="1:15" s="79" customFormat="1" ht="26.25" customHeight="1" thickBot="1" x14ac:dyDescent="0.3">
      <c r="A5" s="74" t="s">
        <v>12</v>
      </c>
      <c r="B5" s="75" t="s">
        <v>130</v>
      </c>
      <c r="C5" s="76" t="s">
        <v>123</v>
      </c>
      <c r="D5" s="75" t="s">
        <v>13</v>
      </c>
      <c r="E5" s="77" t="str">
        <f>'Month 5'!E5</f>
        <v>Net Sales</v>
      </c>
      <c r="F5" s="77" t="str">
        <f>'Month 5'!F5</f>
        <v>Expenses Reimbursed</v>
      </c>
      <c r="G5" s="77" t="str">
        <f>'Month 5'!G5</f>
        <v>VAT</v>
      </c>
      <c r="H5" s="77" t="str">
        <f>'Month 5'!H5</f>
        <v>Interest Received</v>
      </c>
      <c r="I5" s="77" t="str">
        <f>'Month 5'!I5</f>
        <v>Tax Refunds</v>
      </c>
      <c r="J5" s="77" t="str">
        <f>'Month 5'!J5</f>
        <v>Company Dep A/C</v>
      </c>
      <c r="K5" s="77">
        <f>'Month 5'!K5</f>
        <v>0</v>
      </c>
      <c r="L5" s="77">
        <f>'Month 5'!L5</f>
        <v>0</v>
      </c>
      <c r="M5" s="77">
        <f>'Month 5'!M5</f>
        <v>0</v>
      </c>
      <c r="N5" s="77">
        <f>'Month 5'!N5</f>
        <v>0</v>
      </c>
      <c r="O5" s="78" t="str">
        <f>'Month 5'!O5</f>
        <v>Sundries</v>
      </c>
    </row>
    <row r="6" spans="1:15" x14ac:dyDescent="0.25">
      <c r="A6" s="80"/>
      <c r="B6" s="81"/>
      <c r="C6" s="60"/>
      <c r="D6" s="83">
        <f t="shared" ref="D6:D17" si="0">SUM(E6:O6)</f>
        <v>0</v>
      </c>
      <c r="E6" s="84"/>
      <c r="F6" s="84"/>
      <c r="G6" s="84"/>
      <c r="H6" s="84"/>
      <c r="I6" s="84"/>
      <c r="J6" s="84"/>
      <c r="K6" s="84"/>
      <c r="L6" s="84"/>
      <c r="M6" s="84"/>
      <c r="N6" s="84"/>
      <c r="O6" s="86"/>
    </row>
    <row r="7" spans="1:15" x14ac:dyDescent="0.25">
      <c r="A7" s="80"/>
      <c r="B7" s="81"/>
      <c r="C7" s="60"/>
      <c r="D7" s="83">
        <f t="shared" si="0"/>
        <v>0</v>
      </c>
      <c r="E7" s="84"/>
      <c r="F7" s="84"/>
      <c r="G7" s="84"/>
      <c r="H7" s="84"/>
      <c r="I7" s="84"/>
      <c r="J7" s="84"/>
      <c r="K7" s="84"/>
      <c r="L7" s="84"/>
      <c r="M7" s="84"/>
      <c r="N7" s="84"/>
      <c r="O7" s="86"/>
    </row>
    <row r="8" spans="1:15" x14ac:dyDescent="0.25">
      <c r="A8" s="80"/>
      <c r="B8" s="81"/>
      <c r="C8" s="60"/>
      <c r="D8" s="83">
        <f t="shared" si="0"/>
        <v>0</v>
      </c>
      <c r="E8" s="84"/>
      <c r="F8" s="84"/>
      <c r="G8" s="84"/>
      <c r="H8" s="84"/>
      <c r="I8" s="84"/>
      <c r="J8" s="84"/>
      <c r="K8" s="84"/>
      <c r="L8" s="84"/>
      <c r="M8" s="84"/>
      <c r="N8" s="84"/>
      <c r="O8" s="86"/>
    </row>
    <row r="9" spans="1:15" x14ac:dyDescent="0.25">
      <c r="A9" s="80"/>
      <c r="B9" s="81"/>
      <c r="C9" s="60"/>
      <c r="D9" s="83">
        <f t="shared" si="0"/>
        <v>0</v>
      </c>
      <c r="E9" s="84"/>
      <c r="F9" s="84"/>
      <c r="G9" s="84"/>
      <c r="H9" s="84"/>
      <c r="I9" s="84"/>
      <c r="J9" s="84"/>
      <c r="K9" s="84"/>
      <c r="L9" s="84"/>
      <c r="M9" s="84"/>
      <c r="N9" s="84"/>
      <c r="O9" s="86"/>
    </row>
    <row r="10" spans="1:15" x14ac:dyDescent="0.25">
      <c r="A10" s="80"/>
      <c r="B10" s="81"/>
      <c r="C10" s="60"/>
      <c r="D10" s="83">
        <f t="shared" si="0"/>
        <v>0</v>
      </c>
      <c r="E10" s="84"/>
      <c r="F10" s="84"/>
      <c r="G10" s="84"/>
      <c r="H10" s="84"/>
      <c r="I10" s="84"/>
      <c r="J10" s="84"/>
      <c r="K10" s="84"/>
      <c r="L10" s="84"/>
      <c r="M10" s="84"/>
      <c r="N10" s="84"/>
      <c r="O10" s="86"/>
    </row>
    <row r="11" spans="1:15" x14ac:dyDescent="0.25">
      <c r="A11" s="80"/>
      <c r="B11" s="81"/>
      <c r="C11" s="60"/>
      <c r="D11" s="83">
        <f t="shared" si="0"/>
        <v>0</v>
      </c>
      <c r="E11" s="84"/>
      <c r="F11" s="84"/>
      <c r="G11" s="84"/>
      <c r="H11" s="84"/>
      <c r="I11" s="84"/>
      <c r="J11" s="84"/>
      <c r="K11" s="84"/>
      <c r="L11" s="84"/>
      <c r="M11" s="84"/>
      <c r="N11" s="84"/>
      <c r="O11" s="86"/>
    </row>
    <row r="12" spans="1:15" x14ac:dyDescent="0.25">
      <c r="A12" s="80"/>
      <c r="B12" s="81"/>
      <c r="C12" s="60"/>
      <c r="D12" s="83">
        <f t="shared" si="0"/>
        <v>0</v>
      </c>
      <c r="E12" s="84"/>
      <c r="F12" s="84"/>
      <c r="G12" s="84"/>
      <c r="H12" s="84"/>
      <c r="I12" s="84"/>
      <c r="J12" s="84"/>
      <c r="K12" s="84"/>
      <c r="L12" s="84"/>
      <c r="M12" s="84"/>
      <c r="N12" s="84"/>
      <c r="O12" s="86"/>
    </row>
    <row r="13" spans="1:15" x14ac:dyDescent="0.25">
      <c r="A13" s="80"/>
      <c r="B13" s="81"/>
      <c r="C13" s="60"/>
      <c r="D13" s="83">
        <f t="shared" si="0"/>
        <v>0</v>
      </c>
      <c r="E13" s="84"/>
      <c r="F13" s="84"/>
      <c r="G13" s="84"/>
      <c r="H13" s="84"/>
      <c r="I13" s="84"/>
      <c r="J13" s="84"/>
      <c r="K13" s="84"/>
      <c r="L13" s="84"/>
      <c r="M13" s="84"/>
      <c r="N13" s="84"/>
      <c r="O13" s="86"/>
    </row>
    <row r="14" spans="1:15" x14ac:dyDescent="0.25">
      <c r="A14" s="80"/>
      <c r="B14" s="81"/>
      <c r="C14" s="60"/>
      <c r="D14" s="83">
        <f t="shared" si="0"/>
        <v>0</v>
      </c>
      <c r="E14" s="84"/>
      <c r="F14" s="84"/>
      <c r="G14" s="84"/>
      <c r="H14" s="84"/>
      <c r="I14" s="84"/>
      <c r="J14" s="84"/>
      <c r="K14" s="84"/>
      <c r="L14" s="84"/>
      <c r="M14" s="84"/>
      <c r="N14" s="84"/>
      <c r="O14" s="86"/>
    </row>
    <row r="15" spans="1:15" x14ac:dyDescent="0.25">
      <c r="A15" s="80"/>
      <c r="B15" s="81"/>
      <c r="C15" s="60"/>
      <c r="D15" s="83">
        <f t="shared" si="0"/>
        <v>0</v>
      </c>
      <c r="E15" s="84"/>
      <c r="F15" s="84"/>
      <c r="G15" s="84"/>
      <c r="H15" s="84"/>
      <c r="I15" s="84"/>
      <c r="J15" s="84"/>
      <c r="K15" s="84"/>
      <c r="L15" s="84"/>
      <c r="M15" s="84"/>
      <c r="N15" s="84"/>
      <c r="O15" s="86"/>
    </row>
    <row r="16" spans="1:15" x14ac:dyDescent="0.25">
      <c r="A16" s="80"/>
      <c r="B16" s="81"/>
      <c r="C16" s="60"/>
      <c r="D16" s="83">
        <f t="shared" si="0"/>
        <v>0</v>
      </c>
      <c r="E16" s="84"/>
      <c r="F16" s="84"/>
      <c r="G16" s="84"/>
      <c r="H16" s="84"/>
      <c r="I16" s="84"/>
      <c r="J16" s="84"/>
      <c r="K16" s="84"/>
      <c r="L16" s="84"/>
      <c r="M16" s="84"/>
      <c r="N16" s="84"/>
      <c r="O16" s="86"/>
    </row>
    <row r="17" spans="1:15" x14ac:dyDescent="0.25">
      <c r="A17" s="80"/>
      <c r="B17" s="81"/>
      <c r="C17" s="60"/>
      <c r="D17" s="83">
        <f t="shared" si="0"/>
        <v>0</v>
      </c>
      <c r="E17" s="84"/>
      <c r="F17" s="84"/>
      <c r="G17" s="84"/>
      <c r="H17" s="84"/>
      <c r="I17" s="84"/>
      <c r="J17" s="84"/>
      <c r="K17" s="84"/>
      <c r="L17" s="84"/>
      <c r="M17" s="84"/>
      <c r="N17" s="84"/>
      <c r="O17" s="86"/>
    </row>
    <row r="18" spans="1:15" ht="13.8" thickBot="1" x14ac:dyDescent="0.3">
      <c r="A18" s="80"/>
      <c r="B18" s="81"/>
      <c r="C18" s="60"/>
      <c r="D18" s="83"/>
      <c r="E18" s="84"/>
      <c r="F18" s="84"/>
      <c r="G18" s="84"/>
      <c r="H18" s="84"/>
      <c r="I18" s="19"/>
      <c r="J18" s="19"/>
      <c r="K18" s="19"/>
      <c r="L18" s="19"/>
      <c r="M18" s="19"/>
      <c r="N18" s="85"/>
      <c r="O18" s="86"/>
    </row>
    <row r="19" spans="1:15" ht="16.2" thickBot="1" x14ac:dyDescent="0.3">
      <c r="A19" s="87"/>
      <c r="B19" s="88"/>
      <c r="C19" s="89" t="s">
        <v>17</v>
      </c>
      <c r="D19" s="90">
        <f t="shared" ref="D19:O19" si="1">SUM(D6:D18)</f>
        <v>0</v>
      </c>
      <c r="E19" s="91">
        <f t="shared" si="1"/>
        <v>0</v>
      </c>
      <c r="F19" s="91">
        <f t="shared" si="1"/>
        <v>0</v>
      </c>
      <c r="G19" s="91">
        <f t="shared" si="1"/>
        <v>0</v>
      </c>
      <c r="H19" s="91">
        <f t="shared" si="1"/>
        <v>0</v>
      </c>
      <c r="I19" s="91">
        <f t="shared" si="1"/>
        <v>0</v>
      </c>
      <c r="J19" s="91">
        <f t="shared" si="1"/>
        <v>0</v>
      </c>
      <c r="K19" s="91">
        <f t="shared" si="1"/>
        <v>0</v>
      </c>
      <c r="L19" s="91">
        <f t="shared" si="1"/>
        <v>0</v>
      </c>
      <c r="M19" s="91">
        <f t="shared" si="1"/>
        <v>0</v>
      </c>
      <c r="N19" s="91">
        <f t="shared" si="1"/>
        <v>0</v>
      </c>
      <c r="O19" s="92">
        <f t="shared" si="1"/>
        <v>0</v>
      </c>
    </row>
    <row r="20" spans="1:15" ht="12.75" customHeight="1" x14ac:dyDescent="0.25">
      <c r="A20" s="87"/>
      <c r="B20" s="93"/>
      <c r="C20" s="93"/>
      <c r="D20" s="236" t="s">
        <v>18</v>
      </c>
      <c r="E20" s="236" t="s">
        <v>19</v>
      </c>
      <c r="F20" s="236" t="s">
        <v>19</v>
      </c>
      <c r="G20" s="237" t="s">
        <v>20</v>
      </c>
      <c r="H20" s="93"/>
      <c r="N20" s="93"/>
      <c r="O20" s="103"/>
    </row>
    <row r="21" spans="1:15" ht="13.8" thickBot="1" x14ac:dyDescent="0.3">
      <c r="A21" s="97"/>
      <c r="B21" s="72"/>
      <c r="C21" s="72" t="s">
        <v>71</v>
      </c>
      <c r="D21" s="98">
        <f>SUM(E19:O19)-D19</f>
        <v>0</v>
      </c>
      <c r="E21" s="253" t="str">
        <f>IF(D21=0,"","ERROR - figures do not add across")</f>
        <v/>
      </c>
      <c r="F21" s="72"/>
      <c r="G21" s="72"/>
      <c r="H21" s="72"/>
      <c r="I21" s="72"/>
      <c r="J21" s="72"/>
      <c r="K21" s="72"/>
      <c r="L21" s="72"/>
      <c r="M21" s="72"/>
      <c r="N21" s="72"/>
      <c r="O21" s="99"/>
    </row>
    <row r="23" spans="1:15" ht="13.8" thickBot="1" x14ac:dyDescent="0.3"/>
    <row r="24" spans="1:15" ht="18" thickBot="1" x14ac:dyDescent="0.3">
      <c r="A24" s="100" t="s">
        <v>21</v>
      </c>
      <c r="B24" s="101"/>
      <c r="C24" s="61"/>
      <c r="D24" s="68"/>
      <c r="E24" s="68"/>
      <c r="F24" s="68"/>
      <c r="G24" s="68"/>
      <c r="H24" s="68"/>
      <c r="I24" s="68"/>
      <c r="J24" s="68"/>
      <c r="K24" s="68"/>
      <c r="L24" s="68"/>
      <c r="M24" s="68"/>
      <c r="N24" s="239" t="s">
        <v>10</v>
      </c>
      <c r="O24" s="70">
        <f>O3</f>
        <v>40813</v>
      </c>
    </row>
    <row r="25" spans="1:15" ht="13.8" thickBot="1" x14ac:dyDescent="0.3">
      <c r="A25" s="102"/>
      <c r="B25" s="93"/>
      <c r="C25" s="93"/>
      <c r="D25" s="93"/>
      <c r="E25" s="93"/>
      <c r="F25" s="93"/>
      <c r="G25" s="93"/>
      <c r="H25" s="93"/>
      <c r="I25" s="93"/>
      <c r="J25" s="93"/>
      <c r="K25" s="93"/>
      <c r="L25" s="93"/>
      <c r="M25" s="93"/>
      <c r="N25" s="93"/>
      <c r="O25" s="103"/>
    </row>
    <row r="26" spans="1:15" s="79" customFormat="1" ht="27" customHeight="1" thickBot="1" x14ac:dyDescent="0.3">
      <c r="A26" s="104" t="s">
        <v>12</v>
      </c>
      <c r="B26" s="75" t="s">
        <v>68</v>
      </c>
      <c r="C26" s="105" t="s">
        <v>123</v>
      </c>
      <c r="D26" s="106" t="s">
        <v>63</v>
      </c>
      <c r="E26" s="107" t="str">
        <f>'Month 5'!E26</f>
        <v>PAYE/NI</v>
      </c>
      <c r="F26" s="107" t="str">
        <f>'Month 5'!F26</f>
        <v>Net Wages</v>
      </c>
      <c r="G26" s="107" t="str">
        <f>'Month 5'!G26</f>
        <v>Dividends</v>
      </c>
      <c r="H26" s="107" t="str">
        <f>'Month 5'!H26</f>
        <v>Company Dep A/C</v>
      </c>
      <c r="I26" s="107" t="str">
        <f>'Month 5'!I26</f>
        <v>Company Pension</v>
      </c>
      <c r="J26" s="107" t="str">
        <f>'Month 5'!J26</f>
        <v>Motor &amp; Travel</v>
      </c>
      <c r="K26" s="107" t="str">
        <f>'Month 5'!K26</f>
        <v>Standing Orders</v>
      </c>
      <c r="L26" s="107" t="str">
        <f>'Month 5'!L26</f>
        <v>Petty Cash</v>
      </c>
      <c r="M26" s="107" t="s">
        <v>143</v>
      </c>
      <c r="N26" s="107" t="str">
        <f>'Month 5'!N26</f>
        <v>Sundries</v>
      </c>
      <c r="O26" s="78" t="s">
        <v>142</v>
      </c>
    </row>
    <row r="27" spans="1:15" x14ac:dyDescent="0.25">
      <c r="A27" s="80"/>
      <c r="B27" s="81"/>
      <c r="C27" s="60"/>
      <c r="D27" s="83">
        <f t="shared" ref="D27:D40" si="2">SUM(E27:O27)</f>
        <v>0</v>
      </c>
      <c r="E27" s="84"/>
      <c r="F27" s="84"/>
      <c r="G27" s="84"/>
      <c r="H27" s="84"/>
      <c r="I27" s="84"/>
      <c r="J27" s="84"/>
      <c r="K27" s="84"/>
      <c r="L27" s="84"/>
      <c r="M27" s="84"/>
      <c r="N27" s="84"/>
      <c r="O27" s="86"/>
    </row>
    <row r="28" spans="1:15" x14ac:dyDescent="0.25">
      <c r="A28" s="80"/>
      <c r="B28" s="81"/>
      <c r="C28" s="60"/>
      <c r="D28" s="83">
        <f t="shared" si="2"/>
        <v>0</v>
      </c>
      <c r="E28" s="84"/>
      <c r="F28" s="84"/>
      <c r="G28" s="84"/>
      <c r="H28" s="84"/>
      <c r="I28" s="84"/>
      <c r="J28" s="84"/>
      <c r="K28" s="84"/>
      <c r="L28" s="84"/>
      <c r="M28" s="84"/>
      <c r="N28" s="84"/>
      <c r="O28" s="86"/>
    </row>
    <row r="29" spans="1:15" x14ac:dyDescent="0.25">
      <c r="A29" s="80"/>
      <c r="B29" s="81"/>
      <c r="C29" s="60"/>
      <c r="D29" s="83">
        <f t="shared" si="2"/>
        <v>0</v>
      </c>
      <c r="E29" s="84"/>
      <c r="F29" s="84"/>
      <c r="G29" s="84"/>
      <c r="H29" s="84"/>
      <c r="I29" s="84"/>
      <c r="J29" s="84"/>
      <c r="K29" s="84"/>
      <c r="L29" s="84"/>
      <c r="M29" s="84"/>
      <c r="N29" s="84"/>
      <c r="O29" s="86"/>
    </row>
    <row r="30" spans="1:15" x14ac:dyDescent="0.25">
      <c r="A30" s="80"/>
      <c r="B30" s="81"/>
      <c r="C30" s="60"/>
      <c r="D30" s="83">
        <f t="shared" si="2"/>
        <v>0</v>
      </c>
      <c r="E30" s="84"/>
      <c r="F30" s="84"/>
      <c r="G30" s="84"/>
      <c r="H30" s="84"/>
      <c r="I30" s="84"/>
      <c r="J30" s="84"/>
      <c r="K30" s="84"/>
      <c r="L30" s="84"/>
      <c r="M30" s="84"/>
      <c r="N30" s="84"/>
      <c r="O30" s="86"/>
    </row>
    <row r="31" spans="1:15" x14ac:dyDescent="0.25">
      <c r="A31" s="80"/>
      <c r="B31" s="81"/>
      <c r="C31" s="60"/>
      <c r="D31" s="83">
        <f t="shared" si="2"/>
        <v>0</v>
      </c>
      <c r="E31" s="84"/>
      <c r="F31" s="84"/>
      <c r="G31" s="84"/>
      <c r="H31" s="84"/>
      <c r="I31" s="84"/>
      <c r="J31" s="84"/>
      <c r="K31" s="84"/>
      <c r="L31" s="84"/>
      <c r="M31" s="84"/>
      <c r="N31" s="84"/>
      <c r="O31" s="86"/>
    </row>
    <row r="32" spans="1:15" x14ac:dyDescent="0.25">
      <c r="A32" s="80"/>
      <c r="B32" s="81"/>
      <c r="C32" s="60"/>
      <c r="D32" s="83">
        <f t="shared" si="2"/>
        <v>0</v>
      </c>
      <c r="E32" s="84"/>
      <c r="F32" s="84"/>
      <c r="G32" s="84"/>
      <c r="H32" s="84"/>
      <c r="I32" s="84"/>
      <c r="J32" s="84"/>
      <c r="K32" s="84"/>
      <c r="L32" s="84"/>
      <c r="M32" s="84"/>
      <c r="N32" s="84"/>
      <c r="O32" s="86"/>
    </row>
    <row r="33" spans="1:15" x14ac:dyDescent="0.25">
      <c r="A33" s="80"/>
      <c r="B33" s="81"/>
      <c r="C33" s="60"/>
      <c r="D33" s="83">
        <f t="shared" si="2"/>
        <v>0</v>
      </c>
      <c r="E33" s="84"/>
      <c r="F33" s="84"/>
      <c r="G33" s="84"/>
      <c r="H33" s="84"/>
      <c r="I33" s="84"/>
      <c r="J33" s="84"/>
      <c r="K33" s="84"/>
      <c r="L33" s="84"/>
      <c r="M33" s="84"/>
      <c r="N33" s="84"/>
      <c r="O33" s="86"/>
    </row>
    <row r="34" spans="1:15" x14ac:dyDescent="0.25">
      <c r="A34" s="80"/>
      <c r="B34" s="81"/>
      <c r="C34" s="60"/>
      <c r="D34" s="83">
        <f t="shared" si="2"/>
        <v>0</v>
      </c>
      <c r="E34" s="84"/>
      <c r="F34" s="84"/>
      <c r="G34" s="84"/>
      <c r="H34" s="84"/>
      <c r="I34" s="84"/>
      <c r="J34" s="84"/>
      <c r="K34" s="84"/>
      <c r="L34" s="84"/>
      <c r="M34" s="84"/>
      <c r="N34" s="84"/>
      <c r="O34" s="86"/>
    </row>
    <row r="35" spans="1:15" x14ac:dyDescent="0.25">
      <c r="A35" s="80"/>
      <c r="B35" s="81"/>
      <c r="C35" s="60"/>
      <c r="D35" s="83">
        <f t="shared" si="2"/>
        <v>0</v>
      </c>
      <c r="E35" s="84"/>
      <c r="F35" s="84"/>
      <c r="G35" s="84"/>
      <c r="H35" s="84"/>
      <c r="I35" s="84"/>
      <c r="J35" s="84"/>
      <c r="K35" s="84"/>
      <c r="L35" s="84"/>
      <c r="M35" s="84"/>
      <c r="N35" s="84"/>
      <c r="O35" s="86"/>
    </row>
    <row r="36" spans="1:15" x14ac:dyDescent="0.25">
      <c r="A36" s="80"/>
      <c r="B36" s="81"/>
      <c r="C36" s="60"/>
      <c r="D36" s="83">
        <f t="shared" si="2"/>
        <v>0</v>
      </c>
      <c r="E36" s="84"/>
      <c r="F36" s="84"/>
      <c r="G36" s="84"/>
      <c r="H36" s="84"/>
      <c r="I36" s="84"/>
      <c r="J36" s="84"/>
      <c r="K36" s="84"/>
      <c r="L36" s="84"/>
      <c r="M36" s="84"/>
      <c r="N36" s="84"/>
      <c r="O36" s="86"/>
    </row>
    <row r="37" spans="1:15" x14ac:dyDescent="0.25">
      <c r="A37" s="80"/>
      <c r="B37" s="81"/>
      <c r="C37" s="60"/>
      <c r="D37" s="83">
        <f t="shared" si="2"/>
        <v>0</v>
      </c>
      <c r="E37" s="84"/>
      <c r="F37" s="84"/>
      <c r="G37" s="84"/>
      <c r="H37" s="84"/>
      <c r="I37" s="84"/>
      <c r="J37" s="84"/>
      <c r="K37" s="84"/>
      <c r="L37" s="84"/>
      <c r="M37" s="84"/>
      <c r="N37" s="84"/>
      <c r="O37" s="86"/>
    </row>
    <row r="38" spans="1:15" x14ac:dyDescent="0.25">
      <c r="A38" s="80"/>
      <c r="B38" s="81"/>
      <c r="C38" s="60"/>
      <c r="D38" s="83">
        <f t="shared" si="2"/>
        <v>0</v>
      </c>
      <c r="E38" s="84"/>
      <c r="F38" s="84"/>
      <c r="G38" s="84"/>
      <c r="H38" s="84"/>
      <c r="I38" s="84"/>
      <c r="J38" s="84"/>
      <c r="K38" s="84"/>
      <c r="L38" s="84"/>
      <c r="M38" s="84"/>
      <c r="N38" s="84"/>
      <c r="O38" s="86"/>
    </row>
    <row r="39" spans="1:15" x14ac:dyDescent="0.25">
      <c r="A39" s="80"/>
      <c r="B39" s="81"/>
      <c r="C39" s="60"/>
      <c r="D39" s="83">
        <f t="shared" si="2"/>
        <v>0</v>
      </c>
      <c r="E39" s="84"/>
      <c r="F39" s="84"/>
      <c r="G39" s="84"/>
      <c r="H39" s="84"/>
      <c r="I39" s="84"/>
      <c r="J39" s="84"/>
      <c r="K39" s="84"/>
      <c r="L39" s="84"/>
      <c r="M39" s="84"/>
      <c r="N39" s="84"/>
      <c r="O39" s="86"/>
    </row>
    <row r="40" spans="1:15" x14ac:dyDescent="0.25">
      <c r="A40" s="80"/>
      <c r="B40" s="81"/>
      <c r="C40" s="60"/>
      <c r="D40" s="83">
        <f t="shared" si="2"/>
        <v>0</v>
      </c>
      <c r="E40" s="84"/>
      <c r="F40" s="84"/>
      <c r="G40" s="84"/>
      <c r="H40" s="84"/>
      <c r="I40" s="84"/>
      <c r="J40" s="84"/>
      <c r="K40" s="84"/>
      <c r="L40" s="84"/>
      <c r="M40" s="84"/>
      <c r="N40" s="84"/>
      <c r="O40" s="86"/>
    </row>
    <row r="41" spans="1:15" ht="13.8" thickBot="1" x14ac:dyDescent="0.3">
      <c r="A41" s="80"/>
      <c r="B41" s="81"/>
      <c r="C41" s="60"/>
      <c r="D41" s="83"/>
      <c r="E41" s="84"/>
      <c r="F41" s="84"/>
      <c r="G41" s="84"/>
      <c r="H41" s="84"/>
      <c r="I41" s="84"/>
      <c r="J41" s="84"/>
      <c r="K41" s="84"/>
      <c r="L41" s="84"/>
      <c r="M41" s="84"/>
      <c r="N41" s="84"/>
      <c r="O41" s="86"/>
    </row>
    <row r="42" spans="1:15" ht="16.2" thickBot="1" x14ac:dyDescent="0.3">
      <c r="A42" s="87"/>
      <c r="B42" s="88"/>
      <c r="C42" s="89" t="s">
        <v>17</v>
      </c>
      <c r="D42" s="90">
        <f t="shared" ref="D42:O42" si="3">SUM(D27:D41)</f>
        <v>0</v>
      </c>
      <c r="E42" s="91">
        <f t="shared" si="3"/>
        <v>0</v>
      </c>
      <c r="F42" s="91">
        <f t="shared" si="3"/>
        <v>0</v>
      </c>
      <c r="G42" s="91">
        <f t="shared" si="3"/>
        <v>0</v>
      </c>
      <c r="H42" s="91">
        <f t="shared" si="3"/>
        <v>0</v>
      </c>
      <c r="I42" s="91">
        <f t="shared" si="3"/>
        <v>0</v>
      </c>
      <c r="J42" s="91">
        <f t="shared" si="3"/>
        <v>0</v>
      </c>
      <c r="K42" s="91">
        <f>SUM(K27:K41)</f>
        <v>0</v>
      </c>
      <c r="L42" s="91">
        <f>SUM(L27:L41)</f>
        <v>0</v>
      </c>
      <c r="M42" s="91">
        <f t="shared" si="3"/>
        <v>0</v>
      </c>
      <c r="N42" s="91">
        <f t="shared" si="3"/>
        <v>0</v>
      </c>
      <c r="O42" s="92">
        <f t="shared" si="3"/>
        <v>0</v>
      </c>
    </row>
    <row r="43" spans="1:15" ht="13.8" x14ac:dyDescent="0.25">
      <c r="A43" s="87"/>
      <c r="B43" s="93"/>
      <c r="C43" s="93"/>
      <c r="D43" s="94" t="s">
        <v>26</v>
      </c>
      <c r="E43" s="93"/>
      <c r="F43" s="93"/>
      <c r="G43" s="93"/>
      <c r="H43" s="93"/>
      <c r="I43" s="93"/>
      <c r="J43" s="93"/>
      <c r="K43" s="93"/>
      <c r="L43" s="93"/>
      <c r="M43" s="93"/>
      <c r="N43" s="93"/>
      <c r="O43" s="108" t="s">
        <v>27</v>
      </c>
    </row>
    <row r="44" spans="1:15" ht="13.8" thickBot="1" x14ac:dyDescent="0.3">
      <c r="A44" s="97"/>
      <c r="B44" s="72"/>
      <c r="C44" s="72" t="s">
        <v>71</v>
      </c>
      <c r="D44" s="98">
        <f>SUM(E42:O42)-D42</f>
        <v>0</v>
      </c>
      <c r="E44" s="253" t="str">
        <f>IF(D44=0,"","ERROR - figures do not add across")</f>
        <v/>
      </c>
      <c r="F44" s="72"/>
      <c r="G44" s="72"/>
      <c r="H44" s="72"/>
      <c r="I44" s="72"/>
      <c r="J44" s="72"/>
      <c r="K44" s="72"/>
      <c r="L44" s="72"/>
      <c r="M44" s="72"/>
      <c r="N44" s="72"/>
      <c r="O44" s="99"/>
    </row>
    <row r="46" spans="1:15" ht="13.8" thickBot="1" x14ac:dyDescent="0.3"/>
    <row r="47" spans="1:15" ht="18" thickBot="1" x14ac:dyDescent="0.3">
      <c r="A47" s="109" t="s">
        <v>28</v>
      </c>
      <c r="B47" s="61"/>
      <c r="C47" s="61"/>
      <c r="D47" s="110"/>
      <c r="E47" s="239" t="s">
        <v>10</v>
      </c>
      <c r="F47" s="70">
        <f>O3</f>
        <v>40813</v>
      </c>
      <c r="H47" s="109" t="s">
        <v>132</v>
      </c>
      <c r="I47" s="61"/>
      <c r="J47" s="61"/>
      <c r="K47" s="68"/>
      <c r="L47" s="68"/>
      <c r="M47" s="68"/>
      <c r="N47" s="239" t="s">
        <v>10</v>
      </c>
      <c r="O47" s="70">
        <f>F47</f>
        <v>40813</v>
      </c>
    </row>
    <row r="48" spans="1:15" x14ac:dyDescent="0.25">
      <c r="A48" s="102"/>
      <c r="B48" s="93"/>
      <c r="C48" s="93"/>
      <c r="D48" s="93"/>
      <c r="E48" s="93"/>
      <c r="F48" s="103"/>
      <c r="H48" s="102"/>
      <c r="I48" s="93"/>
      <c r="J48" s="93"/>
      <c r="K48" s="93"/>
      <c r="L48" s="93"/>
      <c r="M48" s="93"/>
      <c r="N48" s="93"/>
      <c r="O48" s="103"/>
    </row>
    <row r="49" spans="1:15" x14ac:dyDescent="0.25">
      <c r="A49" s="111" t="s">
        <v>29</v>
      </c>
      <c r="B49" s="93"/>
      <c r="C49" s="93"/>
      <c r="D49" s="93"/>
      <c r="E49" s="83">
        <f>'Month 5'!E53</f>
        <v>0</v>
      </c>
      <c r="F49" s="103"/>
      <c r="H49" s="112"/>
      <c r="I49" s="93"/>
      <c r="J49" s="93"/>
      <c r="K49" s="93"/>
      <c r="L49" s="93"/>
      <c r="M49" s="93"/>
      <c r="N49" s="93"/>
      <c r="O49" s="103"/>
    </row>
    <row r="50" spans="1:15" ht="14.4" thickBot="1" x14ac:dyDescent="0.3">
      <c r="A50" s="111" t="s">
        <v>30</v>
      </c>
      <c r="B50" s="93"/>
      <c r="C50" s="94"/>
      <c r="D50" s="94" t="s">
        <v>18</v>
      </c>
      <c r="E50" s="113">
        <f>+D19</f>
        <v>0</v>
      </c>
      <c r="F50" s="103"/>
      <c r="H50" s="112" t="s">
        <v>29</v>
      </c>
      <c r="I50" s="93"/>
      <c r="J50" s="93"/>
      <c r="K50" s="93"/>
      <c r="L50" s="93"/>
      <c r="N50" s="114">
        <f>'Month 5'!N56</f>
        <v>0</v>
      </c>
      <c r="O50" s="103"/>
    </row>
    <row r="51" spans="1:15" ht="13.8" x14ac:dyDescent="0.25">
      <c r="A51" s="111"/>
      <c r="B51" s="93"/>
      <c r="C51" s="94"/>
      <c r="D51" s="94"/>
      <c r="E51" s="83">
        <f>SUM(E49:E50)</f>
        <v>0</v>
      </c>
      <c r="F51" s="103"/>
      <c r="H51" s="112"/>
      <c r="I51" s="93"/>
      <c r="J51" s="93"/>
      <c r="K51" s="93"/>
      <c r="L51" s="93"/>
      <c r="N51" s="114"/>
      <c r="O51" s="103"/>
    </row>
    <row r="52" spans="1:15" ht="14.4" thickBot="1" x14ac:dyDescent="0.3">
      <c r="A52" s="111" t="s">
        <v>59</v>
      </c>
      <c r="B52" s="93"/>
      <c r="C52" s="94"/>
      <c r="D52" s="94" t="s">
        <v>26</v>
      </c>
      <c r="E52" s="83">
        <f>+D42</f>
        <v>0</v>
      </c>
      <c r="F52" s="103"/>
      <c r="H52" s="112" t="s">
        <v>133</v>
      </c>
      <c r="I52" s="93"/>
      <c r="J52" s="93"/>
      <c r="K52" s="93"/>
      <c r="L52" s="93"/>
      <c r="N52" s="114">
        <f>L42</f>
        <v>0</v>
      </c>
      <c r="O52" s="103"/>
    </row>
    <row r="53" spans="1:15" ht="14.4" thickBot="1" x14ac:dyDescent="0.3">
      <c r="A53" s="111" t="s">
        <v>31</v>
      </c>
      <c r="B53" s="94"/>
      <c r="C53" s="94"/>
      <c r="D53" s="108" t="s">
        <v>32</v>
      </c>
      <c r="E53" s="115">
        <f>SUM(E51-E52)</f>
        <v>0</v>
      </c>
      <c r="F53" s="103"/>
      <c r="H53" s="112"/>
      <c r="I53" s="93"/>
      <c r="J53" s="93"/>
      <c r="K53" s="93"/>
      <c r="L53" s="93"/>
      <c r="N53" s="114"/>
      <c r="O53" s="103"/>
    </row>
    <row r="54" spans="1:15" ht="13.8" thickBot="1" x14ac:dyDescent="0.3">
      <c r="A54" s="102"/>
      <c r="B54" s="93"/>
      <c r="C54" s="93"/>
      <c r="D54" s="93"/>
      <c r="E54" s="93"/>
      <c r="F54" s="103"/>
      <c r="H54" s="112" t="s">
        <v>134</v>
      </c>
      <c r="I54" s="93"/>
      <c r="J54" s="93"/>
      <c r="K54" s="93"/>
      <c r="L54" s="93"/>
      <c r="N54" s="114">
        <f>-D88</f>
        <v>0</v>
      </c>
      <c r="O54" s="103"/>
    </row>
    <row r="55" spans="1:15" ht="18" thickBot="1" x14ac:dyDescent="0.3">
      <c r="A55" s="116" t="s">
        <v>33</v>
      </c>
      <c r="B55" s="117"/>
      <c r="C55" s="61"/>
      <c r="D55" s="118"/>
      <c r="E55" s="93"/>
      <c r="F55" s="103"/>
      <c r="H55" s="112"/>
      <c r="I55" s="93"/>
      <c r="J55" s="93"/>
      <c r="K55" s="93"/>
      <c r="L55" s="93"/>
      <c r="N55" s="114"/>
      <c r="O55" s="103"/>
    </row>
    <row r="56" spans="1:15" ht="13.8" thickBot="1" x14ac:dyDescent="0.3">
      <c r="A56" s="102"/>
      <c r="B56" s="93"/>
      <c r="C56" s="93"/>
      <c r="D56" s="93"/>
      <c r="E56" s="93"/>
      <c r="F56" s="103"/>
      <c r="H56" s="112" t="s">
        <v>31</v>
      </c>
      <c r="I56" s="93"/>
      <c r="J56" s="93"/>
      <c r="K56" s="93"/>
      <c r="L56" s="93"/>
      <c r="N56" s="119">
        <f>SUM(N50:N55)</f>
        <v>0</v>
      </c>
      <c r="O56" s="103"/>
    </row>
    <row r="57" spans="1:15" ht="13.8" thickBot="1" x14ac:dyDescent="0.3">
      <c r="A57" s="111" t="s">
        <v>34</v>
      </c>
      <c r="B57" s="93"/>
      <c r="C57" s="120"/>
      <c r="D57" s="121"/>
      <c r="E57" s="122"/>
      <c r="F57" s="103"/>
      <c r="H57" s="102"/>
      <c r="I57" s="93"/>
      <c r="J57" s="93"/>
      <c r="K57" s="93"/>
      <c r="L57" s="93"/>
      <c r="M57" s="93"/>
      <c r="N57" s="93"/>
      <c r="O57" s="103"/>
    </row>
    <row r="58" spans="1:15" x14ac:dyDescent="0.25">
      <c r="A58" s="111"/>
      <c r="B58" s="93"/>
      <c r="C58" s="120"/>
      <c r="D58" s="121"/>
      <c r="E58" s="83"/>
      <c r="F58" s="103"/>
      <c r="H58" s="102"/>
      <c r="I58" s="93"/>
      <c r="J58" s="93"/>
      <c r="K58" s="93"/>
      <c r="L58" s="93"/>
      <c r="M58" s="93"/>
      <c r="N58" s="93"/>
      <c r="O58" s="103"/>
    </row>
    <row r="59" spans="1:15" x14ac:dyDescent="0.25">
      <c r="A59" s="111" t="s">
        <v>35</v>
      </c>
      <c r="B59" s="93"/>
      <c r="C59" s="120"/>
      <c r="D59" s="123"/>
      <c r="E59" s="83"/>
      <c r="F59" s="103"/>
      <c r="H59" s="102"/>
      <c r="I59" s="93"/>
      <c r="J59" s="93"/>
      <c r="K59" s="93"/>
      <c r="L59" s="93"/>
      <c r="M59" s="93"/>
      <c r="N59" s="93"/>
      <c r="O59" s="103"/>
    </row>
    <row r="60" spans="1:15" x14ac:dyDescent="0.25">
      <c r="A60" s="124"/>
      <c r="B60" s="52"/>
      <c r="C60" s="125"/>
      <c r="D60" s="126"/>
      <c r="E60" s="83"/>
      <c r="F60" s="103"/>
      <c r="H60" s="102"/>
      <c r="I60" s="93"/>
      <c r="J60" s="93"/>
      <c r="K60" s="93"/>
      <c r="L60" s="93"/>
      <c r="M60" s="93"/>
      <c r="N60" s="93"/>
      <c r="O60" s="103"/>
    </row>
    <row r="61" spans="1:15" ht="13.8" thickBot="1" x14ac:dyDescent="0.3">
      <c r="A61" s="124"/>
      <c r="B61" s="52"/>
      <c r="C61" s="125"/>
      <c r="D61" s="126"/>
      <c r="E61" s="127">
        <f>SUM(D59:D61)</f>
        <v>0</v>
      </c>
      <c r="F61" s="103"/>
      <c r="H61" s="102"/>
      <c r="I61" s="93"/>
      <c r="J61" s="93"/>
      <c r="K61" s="93"/>
      <c r="L61" s="93"/>
      <c r="M61" s="93"/>
      <c r="N61" s="93"/>
      <c r="O61" s="103"/>
    </row>
    <row r="62" spans="1:15" x14ac:dyDescent="0.25">
      <c r="A62" s="111"/>
      <c r="B62" s="93"/>
      <c r="C62" s="120"/>
      <c r="D62" s="123"/>
      <c r="E62" s="83">
        <f>SUM(E57:E61)</f>
        <v>0</v>
      </c>
      <c r="F62" s="103"/>
      <c r="H62" s="102"/>
      <c r="I62" s="93"/>
      <c r="J62" s="93"/>
      <c r="K62" s="93"/>
      <c r="L62" s="93"/>
      <c r="M62" s="93"/>
      <c r="N62" s="93"/>
      <c r="O62" s="103"/>
    </row>
    <row r="63" spans="1:15" x14ac:dyDescent="0.25">
      <c r="A63" s="111" t="s">
        <v>36</v>
      </c>
      <c r="B63" s="93"/>
      <c r="C63" s="128"/>
      <c r="D63" s="129"/>
      <c r="E63" s="83"/>
      <c r="F63" s="103"/>
      <c r="H63" s="102"/>
      <c r="I63" s="93"/>
      <c r="J63" s="93"/>
      <c r="K63" s="93"/>
      <c r="L63" s="93"/>
      <c r="M63" s="93"/>
      <c r="N63" s="93"/>
      <c r="O63" s="103"/>
    </row>
    <row r="64" spans="1:15" x14ac:dyDescent="0.25">
      <c r="A64" s="124"/>
      <c r="B64" s="52"/>
      <c r="C64" s="60"/>
      <c r="D64" s="130"/>
      <c r="E64" s="83"/>
      <c r="F64" s="103"/>
      <c r="H64" s="102"/>
      <c r="I64" s="93"/>
      <c r="J64" s="93"/>
      <c r="K64" s="93"/>
      <c r="L64" s="93"/>
      <c r="M64" s="93"/>
      <c r="N64" s="93"/>
      <c r="O64" s="103"/>
    </row>
    <row r="65" spans="1:15" x14ac:dyDescent="0.25">
      <c r="A65" s="124"/>
      <c r="B65" s="52"/>
      <c r="C65" s="60"/>
      <c r="D65" s="130"/>
      <c r="E65" s="83"/>
      <c r="F65" s="103"/>
      <c r="H65" s="102"/>
      <c r="I65" s="93"/>
      <c r="J65" s="93"/>
      <c r="K65" s="93"/>
      <c r="L65" s="93"/>
      <c r="M65" s="93"/>
      <c r="N65" s="93"/>
      <c r="O65" s="103"/>
    </row>
    <row r="66" spans="1:15" ht="13.8" thickBot="1" x14ac:dyDescent="0.3">
      <c r="A66" s="124"/>
      <c r="B66" s="52"/>
      <c r="C66" s="125"/>
      <c r="D66" s="126"/>
      <c r="E66" s="83">
        <f>SUM(D63:D66)</f>
        <v>0</v>
      </c>
      <c r="F66" s="103"/>
      <c r="H66" s="102"/>
      <c r="I66" s="93"/>
      <c r="J66" s="93"/>
      <c r="K66" s="93"/>
      <c r="L66" s="93"/>
      <c r="M66" s="93"/>
      <c r="N66" s="93"/>
      <c r="O66" s="103"/>
    </row>
    <row r="67" spans="1:15" ht="16.2" thickBot="1" x14ac:dyDescent="0.3">
      <c r="A67" s="131" t="s">
        <v>37</v>
      </c>
      <c r="B67" s="132"/>
      <c r="C67" s="132"/>
      <c r="D67" s="132" t="s">
        <v>32</v>
      </c>
      <c r="E67" s="115">
        <f>SUM(E62-E66)</f>
        <v>0</v>
      </c>
      <c r="F67" s="99"/>
      <c r="H67" s="133"/>
      <c r="I67" s="72"/>
      <c r="J67" s="72"/>
      <c r="K67" s="72"/>
      <c r="L67" s="72"/>
      <c r="M67" s="72"/>
      <c r="N67" s="72"/>
      <c r="O67" s="99"/>
    </row>
    <row r="69" spans="1:15" ht="13.8" thickBot="1" x14ac:dyDescent="0.3"/>
    <row r="70" spans="1:15" ht="18" thickBot="1" x14ac:dyDescent="0.3">
      <c r="A70" s="100" t="s">
        <v>38</v>
      </c>
      <c r="B70" s="101"/>
      <c r="C70" s="61"/>
      <c r="D70" s="68"/>
      <c r="E70" s="68"/>
      <c r="F70" s="68"/>
      <c r="G70" s="68"/>
      <c r="H70" s="68"/>
      <c r="I70" s="68"/>
      <c r="J70" s="68"/>
      <c r="K70" s="68"/>
      <c r="L70" s="68"/>
      <c r="M70" s="68"/>
      <c r="N70" s="239" t="s">
        <v>10</v>
      </c>
      <c r="O70" s="70">
        <f>O3</f>
        <v>40813</v>
      </c>
    </row>
    <row r="71" spans="1:15" ht="13.8" thickBot="1" x14ac:dyDescent="0.3">
      <c r="A71" s="102"/>
      <c r="B71" s="93"/>
      <c r="C71" s="93"/>
      <c r="D71" s="93"/>
      <c r="E71" s="93"/>
      <c r="F71" s="93"/>
      <c r="G71" s="93"/>
      <c r="H71" s="93"/>
      <c r="I71" s="93"/>
      <c r="J71" s="93"/>
      <c r="K71" s="93"/>
      <c r="L71" s="93"/>
      <c r="M71" s="93"/>
      <c r="N71" s="93"/>
      <c r="O71" s="103"/>
    </row>
    <row r="72" spans="1:15" s="79" customFormat="1" ht="27" customHeight="1" thickBot="1" x14ac:dyDescent="0.3">
      <c r="A72" s="74" t="s">
        <v>12</v>
      </c>
      <c r="B72" s="75" t="s">
        <v>129</v>
      </c>
      <c r="C72" s="105" t="s">
        <v>123</v>
      </c>
      <c r="D72" s="106" t="s">
        <v>64</v>
      </c>
      <c r="E72" s="107" t="str">
        <f>'Month 5'!E72</f>
        <v>Motor &amp; Travel</v>
      </c>
      <c r="F72" s="107" t="str">
        <f>'Month 5'!F72</f>
        <v>Print, Post Stationery</v>
      </c>
      <c r="G72" s="107" t="str">
        <f>'Month 5'!G72</f>
        <v>Subsist Accom</v>
      </c>
      <c r="H72" s="107" t="str">
        <f>'Month 5'!H72</f>
        <v>Software &amp; Materials</v>
      </c>
      <c r="I72" s="77" t="str">
        <f>'Month 5'!I72</f>
        <v>Books &amp; Magazines</v>
      </c>
      <c r="J72" s="107" t="str">
        <f>'Month 5'!J72</f>
        <v>Mobile &amp; Telephone</v>
      </c>
      <c r="K72" s="107" t="str">
        <f>'Month 5'!K72</f>
        <v xml:space="preserve"> </v>
      </c>
      <c r="L72" s="107" t="str">
        <f>'Month 5'!L72</f>
        <v xml:space="preserve"> </v>
      </c>
      <c r="M72" s="107" t="str">
        <f>'Month 5'!M72</f>
        <v xml:space="preserve"> </v>
      </c>
      <c r="N72" s="107" t="str">
        <f>'Month 5'!N72</f>
        <v>Sundries</v>
      </c>
      <c r="O72" s="134" t="s">
        <v>142</v>
      </c>
    </row>
    <row r="73" spans="1:15" x14ac:dyDescent="0.25">
      <c r="A73" s="80"/>
      <c r="B73" s="81"/>
      <c r="C73" s="60"/>
      <c r="D73" s="83">
        <f t="shared" ref="D73:D86" si="4">SUM(E73:O73)</f>
        <v>0</v>
      </c>
      <c r="E73" s="84"/>
      <c r="F73" s="84"/>
      <c r="G73" s="84"/>
      <c r="H73" s="84"/>
      <c r="I73" s="84"/>
      <c r="J73" s="84"/>
      <c r="K73" s="84"/>
      <c r="L73" s="84"/>
      <c r="M73" s="84"/>
      <c r="N73" s="84"/>
      <c r="O73" s="86"/>
    </row>
    <row r="74" spans="1:15" x14ac:dyDescent="0.25">
      <c r="A74" s="80"/>
      <c r="B74" s="81"/>
      <c r="C74" s="60"/>
      <c r="D74" s="83">
        <f t="shared" si="4"/>
        <v>0</v>
      </c>
      <c r="E74" s="84"/>
      <c r="F74" s="84"/>
      <c r="G74" s="84"/>
      <c r="H74" s="84"/>
      <c r="I74" s="84"/>
      <c r="J74" s="84"/>
      <c r="K74" s="84"/>
      <c r="L74" s="84"/>
      <c r="M74" s="84"/>
      <c r="N74" s="84"/>
      <c r="O74" s="86"/>
    </row>
    <row r="75" spans="1:15" x14ac:dyDescent="0.25">
      <c r="A75" s="80"/>
      <c r="B75" s="81"/>
      <c r="C75" s="60"/>
      <c r="D75" s="83">
        <f t="shared" si="4"/>
        <v>0</v>
      </c>
      <c r="E75" s="84"/>
      <c r="F75" s="84"/>
      <c r="G75" s="84"/>
      <c r="H75" s="84"/>
      <c r="I75" s="84"/>
      <c r="J75" s="84"/>
      <c r="K75" s="84"/>
      <c r="L75" s="84"/>
      <c r="M75" s="84"/>
      <c r="N75" s="84"/>
      <c r="O75" s="86"/>
    </row>
    <row r="76" spans="1:15" x14ac:dyDescent="0.25">
      <c r="A76" s="80"/>
      <c r="B76" s="81"/>
      <c r="C76" s="60"/>
      <c r="D76" s="83">
        <f t="shared" si="4"/>
        <v>0</v>
      </c>
      <c r="E76" s="84"/>
      <c r="F76" s="84"/>
      <c r="G76" s="84"/>
      <c r="H76" s="84"/>
      <c r="I76" s="84"/>
      <c r="J76" s="84"/>
      <c r="K76" s="84"/>
      <c r="L76" s="84"/>
      <c r="M76" s="84"/>
      <c r="N76" s="84"/>
      <c r="O76" s="86"/>
    </row>
    <row r="77" spans="1:15" x14ac:dyDescent="0.25">
      <c r="A77" s="80"/>
      <c r="B77" s="81"/>
      <c r="C77" s="60"/>
      <c r="D77" s="83">
        <f t="shared" si="4"/>
        <v>0</v>
      </c>
      <c r="E77" s="84"/>
      <c r="F77" s="84"/>
      <c r="G77" s="84"/>
      <c r="H77" s="84"/>
      <c r="I77" s="84"/>
      <c r="J77" s="84"/>
      <c r="K77" s="84"/>
      <c r="L77" s="84"/>
      <c r="M77" s="84"/>
      <c r="N77" s="84"/>
      <c r="O77" s="86"/>
    </row>
    <row r="78" spans="1:15" x14ac:dyDescent="0.25">
      <c r="A78" s="80"/>
      <c r="B78" s="81"/>
      <c r="C78" s="60"/>
      <c r="D78" s="83">
        <f t="shared" si="4"/>
        <v>0</v>
      </c>
      <c r="E78" s="84"/>
      <c r="F78" s="84"/>
      <c r="G78" s="84"/>
      <c r="H78" s="84"/>
      <c r="I78" s="84"/>
      <c r="J78" s="84"/>
      <c r="K78" s="84"/>
      <c r="L78" s="84"/>
      <c r="M78" s="84"/>
      <c r="N78" s="84"/>
      <c r="O78" s="86"/>
    </row>
    <row r="79" spans="1:15" x14ac:dyDescent="0.25">
      <c r="A79" s="80"/>
      <c r="B79" s="81"/>
      <c r="C79" s="60"/>
      <c r="D79" s="83">
        <f t="shared" si="4"/>
        <v>0</v>
      </c>
      <c r="E79" s="84"/>
      <c r="F79" s="84"/>
      <c r="G79" s="84"/>
      <c r="H79" s="84"/>
      <c r="I79" s="84"/>
      <c r="J79" s="84"/>
      <c r="K79" s="84"/>
      <c r="L79" s="84"/>
      <c r="M79" s="84"/>
      <c r="N79" s="84"/>
      <c r="O79" s="86"/>
    </row>
    <row r="80" spans="1:15" x14ac:dyDescent="0.25">
      <c r="A80" s="80"/>
      <c r="B80" s="81"/>
      <c r="C80" s="60"/>
      <c r="D80" s="83">
        <f t="shared" si="4"/>
        <v>0</v>
      </c>
      <c r="E80" s="84"/>
      <c r="F80" s="84"/>
      <c r="G80" s="84"/>
      <c r="H80" s="84"/>
      <c r="I80" s="84"/>
      <c r="J80" s="84"/>
      <c r="K80" s="84"/>
      <c r="L80" s="84"/>
      <c r="M80" s="84"/>
      <c r="N80" s="84"/>
      <c r="O80" s="86"/>
    </row>
    <row r="81" spans="1:15" x14ac:dyDescent="0.25">
      <c r="A81" s="80"/>
      <c r="B81" s="81"/>
      <c r="C81" s="60"/>
      <c r="D81" s="83">
        <f t="shared" si="4"/>
        <v>0</v>
      </c>
      <c r="E81" s="84"/>
      <c r="F81" s="84"/>
      <c r="G81" s="84"/>
      <c r="H81" s="84"/>
      <c r="I81" s="84"/>
      <c r="J81" s="84"/>
      <c r="K81" s="84"/>
      <c r="L81" s="84"/>
      <c r="M81" s="84"/>
      <c r="N81" s="84"/>
      <c r="O81" s="86"/>
    </row>
    <row r="82" spans="1:15" x14ac:dyDescent="0.25">
      <c r="A82" s="80"/>
      <c r="B82" s="81"/>
      <c r="C82" s="60"/>
      <c r="D82" s="83">
        <f t="shared" si="4"/>
        <v>0</v>
      </c>
      <c r="E82" s="84"/>
      <c r="F82" s="84"/>
      <c r="G82" s="84"/>
      <c r="H82" s="84"/>
      <c r="I82" s="84"/>
      <c r="J82" s="84"/>
      <c r="K82" s="84"/>
      <c r="L82" s="84"/>
      <c r="M82" s="84"/>
      <c r="N82" s="84"/>
      <c r="O82" s="86"/>
    </row>
    <row r="83" spans="1:15" x14ac:dyDescent="0.25">
      <c r="A83" s="80"/>
      <c r="B83" s="81"/>
      <c r="C83" s="60"/>
      <c r="D83" s="83">
        <f t="shared" si="4"/>
        <v>0</v>
      </c>
      <c r="E83" s="84"/>
      <c r="F83" s="84"/>
      <c r="G83" s="84"/>
      <c r="H83" s="84"/>
      <c r="I83" s="84"/>
      <c r="J83" s="84"/>
      <c r="K83" s="84"/>
      <c r="L83" s="84"/>
      <c r="M83" s="84"/>
      <c r="N83" s="84"/>
      <c r="O83" s="86"/>
    </row>
    <row r="84" spans="1:15" x14ac:dyDescent="0.25">
      <c r="A84" s="80"/>
      <c r="B84" s="81"/>
      <c r="C84" s="60"/>
      <c r="D84" s="83">
        <f t="shared" si="4"/>
        <v>0</v>
      </c>
      <c r="E84" s="84"/>
      <c r="F84" s="84"/>
      <c r="G84" s="84"/>
      <c r="H84" s="84"/>
      <c r="I84" s="84"/>
      <c r="J84" s="84"/>
      <c r="K84" s="84"/>
      <c r="L84" s="84"/>
      <c r="M84" s="84"/>
      <c r="N84" s="84"/>
      <c r="O84" s="86"/>
    </row>
    <row r="85" spans="1:15" x14ac:dyDescent="0.25">
      <c r="A85" s="80"/>
      <c r="B85" s="81"/>
      <c r="C85" s="60"/>
      <c r="D85" s="83">
        <f t="shared" si="4"/>
        <v>0</v>
      </c>
      <c r="E85" s="84"/>
      <c r="F85" s="84"/>
      <c r="G85" s="84"/>
      <c r="H85" s="84"/>
      <c r="I85" s="84"/>
      <c r="J85" s="84"/>
      <c r="K85" s="84"/>
      <c r="L85" s="84"/>
      <c r="M85" s="84"/>
      <c r="N85" s="84"/>
      <c r="O85" s="86"/>
    </row>
    <row r="86" spans="1:15" x14ac:dyDescent="0.25">
      <c r="A86" s="135"/>
      <c r="B86" s="81"/>
      <c r="C86" s="60"/>
      <c r="D86" s="83">
        <f t="shared" si="4"/>
        <v>0</v>
      </c>
      <c r="E86" s="84"/>
      <c r="F86" s="84"/>
      <c r="G86" s="84"/>
      <c r="H86" s="84"/>
      <c r="I86" s="84"/>
      <c r="J86" s="84"/>
      <c r="K86" s="84"/>
      <c r="L86" s="84"/>
      <c r="M86" s="84"/>
      <c r="N86" s="84"/>
      <c r="O86" s="86"/>
    </row>
    <row r="87" spans="1:15" ht="13.8" thickBot="1" x14ac:dyDescent="0.3">
      <c r="A87" s="80"/>
      <c r="B87" s="81"/>
      <c r="C87" s="60"/>
      <c r="D87" s="83"/>
      <c r="E87" s="84" t="s">
        <v>11</v>
      </c>
      <c r="F87" s="84"/>
      <c r="G87" s="84"/>
      <c r="H87" s="84"/>
      <c r="I87" s="84"/>
      <c r="J87" s="84"/>
      <c r="K87" s="84"/>
      <c r="L87" s="84"/>
      <c r="M87" s="84"/>
      <c r="N87" s="84"/>
      <c r="O87" s="86"/>
    </row>
    <row r="88" spans="1:15" ht="16.2" thickBot="1" x14ac:dyDescent="0.3">
      <c r="A88" s="87"/>
      <c r="B88" s="88"/>
      <c r="C88" s="89" t="s">
        <v>17</v>
      </c>
      <c r="D88" s="90">
        <f t="shared" ref="D88:J88" si="5">SUM(D73:D87)</f>
        <v>0</v>
      </c>
      <c r="E88" s="91">
        <f t="shared" si="5"/>
        <v>0</v>
      </c>
      <c r="F88" s="91">
        <f t="shared" si="5"/>
        <v>0</v>
      </c>
      <c r="G88" s="91">
        <f t="shared" si="5"/>
        <v>0</v>
      </c>
      <c r="H88" s="91">
        <f t="shared" si="5"/>
        <v>0</v>
      </c>
      <c r="I88" s="91">
        <f t="shared" si="5"/>
        <v>0</v>
      </c>
      <c r="J88" s="91">
        <f t="shared" si="5"/>
        <v>0</v>
      </c>
      <c r="K88" s="91">
        <f>SUM(K73:K87)</f>
        <v>0</v>
      </c>
      <c r="L88" s="91">
        <f>SUM(L73:L87)</f>
        <v>0</v>
      </c>
      <c r="M88" s="91">
        <f>SUM(M73:M87)</f>
        <v>0</v>
      </c>
      <c r="N88" s="91">
        <f>SUM(N73:N87)</f>
        <v>0</v>
      </c>
      <c r="O88" s="92">
        <f>SUM(O73:O87)</f>
        <v>0</v>
      </c>
    </row>
    <row r="89" spans="1:15" ht="15.6" x14ac:dyDescent="0.25">
      <c r="A89" s="87"/>
      <c r="B89" s="93"/>
      <c r="C89" s="93"/>
      <c r="D89" s="93"/>
      <c r="E89" s="93"/>
      <c r="F89" s="93"/>
      <c r="G89" s="93"/>
      <c r="H89" s="93"/>
      <c r="I89" s="93"/>
      <c r="J89" s="93"/>
      <c r="K89" s="93"/>
      <c r="L89" s="93"/>
      <c r="M89" s="93"/>
      <c r="N89" s="93"/>
      <c r="O89" s="136" t="s">
        <v>41</v>
      </c>
    </row>
    <row r="90" spans="1:15" ht="16.2" thickBot="1" x14ac:dyDescent="0.3">
      <c r="A90" s="97"/>
      <c r="B90" s="72"/>
      <c r="C90" s="72" t="s">
        <v>71</v>
      </c>
      <c r="D90" s="98">
        <f>SUM(E88:O88)-D88</f>
        <v>0</v>
      </c>
      <c r="E90" s="253" t="str">
        <f>IF(D90=0,"","ERROR - figures do not add across")</f>
        <v/>
      </c>
      <c r="F90" s="72"/>
      <c r="G90" s="72"/>
      <c r="H90" s="72"/>
      <c r="I90" s="72"/>
      <c r="J90" s="72"/>
      <c r="K90" s="72"/>
      <c r="L90" s="72"/>
      <c r="M90" s="72"/>
      <c r="N90" s="72"/>
      <c r="O90" s="137"/>
    </row>
  </sheetData>
  <customSheetViews>
    <customSheetView guid="{93A5533C-1BF0-4CFD-B527-DBAD1AD08F71}" fitToPage="1" showRuler="0">
      <selection activeCell="B13" sqref="B13"/>
      <pageMargins left="0.59055118110236227" right="0.15748031496062992" top="0.59055118110236227" bottom="0.59055118110236227" header="0.31496062992125984" footer="0.31496062992125984"/>
      <printOptions horizontalCentered="1"/>
      <pageSetup paperSize="9" scale="58" orientation="portrait" r:id="rId1"/>
      <headerFooter alignWithMargins="0">
        <oddHeader>&amp;C&amp;A</oddHeader>
        <oddFooter>&amp;L&amp;F&amp;CPage &amp;P&amp;R&amp;D</oddFooter>
      </headerFooter>
    </customSheetView>
  </customSheetViews>
  <phoneticPr fontId="0" type="noConversion"/>
  <printOptions horizontalCentered="1"/>
  <pageMargins left="0.59055118110236227" right="0.39370078740157483" top="0.59055118110236227" bottom="0.59055118110236227" header="0.31496062992125984" footer="0.31496062992125984"/>
  <pageSetup paperSize="9" scale="59" orientation="portrait" r:id="rId2"/>
  <headerFooter alignWithMargins="0">
    <oddHeader>&amp;C&amp;A</oddHeader>
    <oddFooter>&amp;L&amp;Z&amp;F\&amp;A&amp;CPage &amp;P&amp;R&amp;D  &amp;T</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O90"/>
  <sheetViews>
    <sheetView zoomScale="85" workbookViewId="0">
      <selection activeCell="A7" sqref="A7"/>
    </sheetView>
  </sheetViews>
  <sheetFormatPr defaultColWidth="9.109375" defaultRowHeight="13.2" x14ac:dyDescent="0.25"/>
  <cols>
    <col min="1" max="1" width="10" style="66" customWidth="1"/>
    <col min="2" max="2" width="4.5546875" style="66" customWidth="1"/>
    <col min="3" max="3" width="25.6640625" style="66" customWidth="1"/>
    <col min="4" max="4" width="10.109375" style="66" customWidth="1"/>
    <col min="5" max="5" width="10" style="66" bestFit="1" customWidth="1"/>
    <col min="6" max="6" width="12.5546875" style="66" bestFit="1" customWidth="1"/>
    <col min="7" max="7" width="9.88671875" style="66" bestFit="1" customWidth="1"/>
    <col min="8" max="8" width="11.44140625" style="66" bestFit="1" customWidth="1"/>
    <col min="9" max="9" width="10.88671875" style="66" bestFit="1" customWidth="1"/>
    <col min="10" max="10" width="10.6640625" style="66" bestFit="1" customWidth="1"/>
    <col min="11" max="11" width="9.109375" style="66"/>
    <col min="12" max="12" width="7.109375" style="66" customWidth="1"/>
    <col min="13" max="13" width="8.88671875" style="66" customWidth="1"/>
    <col min="14" max="14" width="9.88671875" style="66" bestFit="1" customWidth="1"/>
    <col min="15" max="15" width="9.5546875" style="66" bestFit="1" customWidth="1"/>
    <col min="16" max="16384" width="9.109375" style="66"/>
  </cols>
  <sheetData>
    <row r="1" spans="1:15" ht="16.2" thickBot="1" x14ac:dyDescent="0.3">
      <c r="A1" s="63" t="str">
        <f>'Company Info'!B5</f>
        <v>ABC Limited</v>
      </c>
      <c r="B1" s="64"/>
      <c r="C1" s="64"/>
      <c r="D1" s="65"/>
    </row>
    <row r="2" spans="1:15" ht="13.8" thickBot="1" x14ac:dyDescent="0.3"/>
    <row r="3" spans="1:15" ht="18" thickBot="1" x14ac:dyDescent="0.3">
      <c r="A3" s="67" t="s">
        <v>9</v>
      </c>
      <c r="B3" s="61"/>
      <c r="C3" s="61"/>
      <c r="D3" s="68"/>
      <c r="E3" s="68"/>
      <c r="F3" s="68"/>
      <c r="G3" s="68"/>
      <c r="H3" s="68"/>
      <c r="I3" s="68"/>
      <c r="J3" s="68"/>
      <c r="K3" s="68"/>
      <c r="L3" s="68"/>
      <c r="M3" s="68"/>
      <c r="N3" s="239" t="s">
        <v>10</v>
      </c>
      <c r="O3" s="70">
        <f>'Month 8'!O3-31</f>
        <v>40844</v>
      </c>
    </row>
    <row r="4" spans="1:15" ht="13.8" thickBot="1" x14ac:dyDescent="0.3">
      <c r="A4" s="71"/>
      <c r="B4" s="68"/>
      <c r="C4" s="68"/>
      <c r="D4" s="72"/>
      <c r="E4" s="72"/>
      <c r="F4" s="72"/>
      <c r="G4" s="72"/>
      <c r="H4" s="72"/>
      <c r="N4" s="68"/>
      <c r="O4" s="73"/>
    </row>
    <row r="5" spans="1:15" s="79" customFormat="1" ht="26.25" customHeight="1" thickBot="1" x14ac:dyDescent="0.3">
      <c r="A5" s="74" t="s">
        <v>12</v>
      </c>
      <c r="B5" s="75" t="s">
        <v>130</v>
      </c>
      <c r="C5" s="76" t="s">
        <v>123</v>
      </c>
      <c r="D5" s="75" t="s">
        <v>13</v>
      </c>
      <c r="E5" s="77" t="str">
        <f>'Month 6'!E5</f>
        <v>Net Sales</v>
      </c>
      <c r="F5" s="77" t="str">
        <f>'Month 6'!F5</f>
        <v>Expenses Reimbursed</v>
      </c>
      <c r="G5" s="77" t="str">
        <f>'Month 6'!G5</f>
        <v>VAT</v>
      </c>
      <c r="H5" s="77" t="str">
        <f>'Month 6'!H5</f>
        <v>Interest Received</v>
      </c>
      <c r="I5" s="77" t="str">
        <f>'Month 6'!I5</f>
        <v>Tax Refunds</v>
      </c>
      <c r="J5" s="77" t="str">
        <f>'Month 6'!J5</f>
        <v>Company Dep A/C</v>
      </c>
      <c r="K5" s="77">
        <f>'Month 6'!K5</f>
        <v>0</v>
      </c>
      <c r="L5" s="77">
        <f>'Month 6'!L5</f>
        <v>0</v>
      </c>
      <c r="M5" s="77">
        <f>'Month 6'!M5</f>
        <v>0</v>
      </c>
      <c r="N5" s="77">
        <f>'Month 6'!N5</f>
        <v>0</v>
      </c>
      <c r="O5" s="78" t="str">
        <f>'Month 6'!O5</f>
        <v>Sundries</v>
      </c>
    </row>
    <row r="6" spans="1:15" x14ac:dyDescent="0.25">
      <c r="A6" s="80"/>
      <c r="B6" s="81"/>
      <c r="C6" s="60"/>
      <c r="D6" s="83">
        <f t="shared" ref="D6:D17" si="0">SUM(E6:O6)</f>
        <v>0</v>
      </c>
      <c r="E6" s="84"/>
      <c r="F6" s="84"/>
      <c r="G6" s="84"/>
      <c r="H6" s="84"/>
      <c r="I6" s="84"/>
      <c r="J6" s="84"/>
      <c r="K6" s="84"/>
      <c r="L6" s="84"/>
      <c r="M6" s="84"/>
      <c r="N6" s="84"/>
      <c r="O6" s="86"/>
    </row>
    <row r="7" spans="1:15" x14ac:dyDescent="0.25">
      <c r="A7" s="80"/>
      <c r="B7" s="81"/>
      <c r="C7" s="60"/>
      <c r="D7" s="83">
        <f t="shared" si="0"/>
        <v>0</v>
      </c>
      <c r="E7" s="84"/>
      <c r="F7" s="84"/>
      <c r="G7" s="84"/>
      <c r="H7" s="84"/>
      <c r="I7" s="84"/>
      <c r="J7" s="84"/>
      <c r="K7" s="84"/>
      <c r="L7" s="84"/>
      <c r="M7" s="84"/>
      <c r="N7" s="84"/>
      <c r="O7" s="86"/>
    </row>
    <row r="8" spans="1:15" x14ac:dyDescent="0.25">
      <c r="A8" s="80"/>
      <c r="B8" s="81"/>
      <c r="C8" s="60"/>
      <c r="D8" s="83">
        <f t="shared" si="0"/>
        <v>0</v>
      </c>
      <c r="E8" s="84"/>
      <c r="F8" s="84"/>
      <c r="G8" s="84"/>
      <c r="H8" s="84"/>
      <c r="I8" s="84"/>
      <c r="J8" s="84"/>
      <c r="K8" s="84"/>
      <c r="L8" s="84"/>
      <c r="M8" s="84"/>
      <c r="N8" s="84"/>
      <c r="O8" s="86"/>
    </row>
    <row r="9" spans="1:15" x14ac:dyDescent="0.25">
      <c r="A9" s="80"/>
      <c r="B9" s="81"/>
      <c r="C9" s="60"/>
      <c r="D9" s="83">
        <f t="shared" si="0"/>
        <v>0</v>
      </c>
      <c r="E9" s="84"/>
      <c r="F9" s="84"/>
      <c r="G9" s="84"/>
      <c r="H9" s="84"/>
      <c r="I9" s="84"/>
      <c r="J9" s="84"/>
      <c r="K9" s="84"/>
      <c r="L9" s="84"/>
      <c r="M9" s="84"/>
      <c r="N9" s="84"/>
      <c r="O9" s="86"/>
    </row>
    <row r="10" spans="1:15" x14ac:dyDescent="0.25">
      <c r="A10" s="80"/>
      <c r="B10" s="81"/>
      <c r="C10" s="60"/>
      <c r="D10" s="83">
        <f t="shared" si="0"/>
        <v>0</v>
      </c>
      <c r="E10" s="84"/>
      <c r="F10" s="84"/>
      <c r="G10" s="84"/>
      <c r="H10" s="84"/>
      <c r="I10" s="84"/>
      <c r="J10" s="84"/>
      <c r="K10" s="84"/>
      <c r="L10" s="84"/>
      <c r="M10" s="84"/>
      <c r="N10" s="84"/>
      <c r="O10" s="86"/>
    </row>
    <row r="11" spans="1:15" x14ac:dyDescent="0.25">
      <c r="A11" s="80"/>
      <c r="B11" s="81"/>
      <c r="C11" s="60"/>
      <c r="D11" s="83">
        <f t="shared" si="0"/>
        <v>0</v>
      </c>
      <c r="E11" s="84"/>
      <c r="F11" s="84"/>
      <c r="G11" s="84"/>
      <c r="H11" s="84"/>
      <c r="I11" s="84"/>
      <c r="J11" s="84"/>
      <c r="K11" s="84"/>
      <c r="L11" s="84"/>
      <c r="M11" s="84"/>
      <c r="N11" s="84"/>
      <c r="O11" s="86"/>
    </row>
    <row r="12" spans="1:15" x14ac:dyDescent="0.25">
      <c r="A12" s="80"/>
      <c r="B12" s="81"/>
      <c r="C12" s="60"/>
      <c r="D12" s="83">
        <f t="shared" si="0"/>
        <v>0</v>
      </c>
      <c r="E12" s="84"/>
      <c r="F12" s="84"/>
      <c r="G12" s="84"/>
      <c r="H12" s="84"/>
      <c r="I12" s="84"/>
      <c r="J12" s="84"/>
      <c r="K12" s="84"/>
      <c r="L12" s="84"/>
      <c r="M12" s="84"/>
      <c r="N12" s="84"/>
      <c r="O12" s="86"/>
    </row>
    <row r="13" spans="1:15" x14ac:dyDescent="0.25">
      <c r="A13" s="80"/>
      <c r="B13" s="81"/>
      <c r="C13" s="60"/>
      <c r="D13" s="83">
        <f t="shared" si="0"/>
        <v>0</v>
      </c>
      <c r="E13" s="84"/>
      <c r="F13" s="84"/>
      <c r="G13" s="84"/>
      <c r="H13" s="84"/>
      <c r="I13" s="84"/>
      <c r="J13" s="84"/>
      <c r="K13" s="84"/>
      <c r="L13" s="84"/>
      <c r="M13" s="84"/>
      <c r="N13" s="84"/>
      <c r="O13" s="86"/>
    </row>
    <row r="14" spans="1:15" x14ac:dyDescent="0.25">
      <c r="A14" s="80"/>
      <c r="B14" s="81"/>
      <c r="C14" s="60"/>
      <c r="D14" s="83">
        <f t="shared" si="0"/>
        <v>0</v>
      </c>
      <c r="E14" s="84"/>
      <c r="F14" s="84"/>
      <c r="G14" s="84"/>
      <c r="H14" s="84"/>
      <c r="I14" s="84"/>
      <c r="J14" s="84"/>
      <c r="K14" s="84"/>
      <c r="L14" s="84"/>
      <c r="M14" s="84"/>
      <c r="N14" s="84"/>
      <c r="O14" s="86"/>
    </row>
    <row r="15" spans="1:15" x14ac:dyDescent="0.25">
      <c r="A15" s="80"/>
      <c r="B15" s="81"/>
      <c r="C15" s="60"/>
      <c r="D15" s="83">
        <f t="shared" si="0"/>
        <v>0</v>
      </c>
      <c r="E15" s="84"/>
      <c r="F15" s="84"/>
      <c r="G15" s="84"/>
      <c r="H15" s="84"/>
      <c r="I15" s="84"/>
      <c r="J15" s="84"/>
      <c r="K15" s="84"/>
      <c r="L15" s="84"/>
      <c r="M15" s="84"/>
      <c r="N15" s="84"/>
      <c r="O15" s="86"/>
    </row>
    <row r="16" spans="1:15" x14ac:dyDescent="0.25">
      <c r="A16" s="80"/>
      <c r="B16" s="81"/>
      <c r="C16" s="60"/>
      <c r="D16" s="83">
        <f t="shared" si="0"/>
        <v>0</v>
      </c>
      <c r="E16" s="84"/>
      <c r="F16" s="84"/>
      <c r="G16" s="84"/>
      <c r="H16" s="84"/>
      <c r="I16" s="84"/>
      <c r="J16" s="84"/>
      <c r="K16" s="84"/>
      <c r="L16" s="84"/>
      <c r="M16" s="84"/>
      <c r="N16" s="84"/>
      <c r="O16" s="86"/>
    </row>
    <row r="17" spans="1:15" x14ac:dyDescent="0.25">
      <c r="A17" s="80"/>
      <c r="B17" s="81"/>
      <c r="C17" s="60"/>
      <c r="D17" s="83">
        <f t="shared" si="0"/>
        <v>0</v>
      </c>
      <c r="E17" s="84"/>
      <c r="F17" s="84"/>
      <c r="G17" s="84"/>
      <c r="H17" s="84"/>
      <c r="I17" s="84"/>
      <c r="J17" s="84"/>
      <c r="K17" s="84"/>
      <c r="L17" s="84"/>
      <c r="M17" s="84"/>
      <c r="N17" s="84"/>
      <c r="O17" s="86"/>
    </row>
    <row r="18" spans="1:15" ht="13.8" thickBot="1" x14ac:dyDescent="0.3">
      <c r="A18" s="80"/>
      <c r="B18" s="81"/>
      <c r="C18" s="60"/>
      <c r="D18" s="83"/>
      <c r="E18" s="84"/>
      <c r="F18" s="84"/>
      <c r="G18" s="84"/>
      <c r="H18" s="84"/>
      <c r="I18" s="19"/>
      <c r="J18" s="19"/>
      <c r="K18" s="19"/>
      <c r="L18" s="19"/>
      <c r="M18" s="19"/>
      <c r="N18" s="85"/>
      <c r="O18" s="86"/>
    </row>
    <row r="19" spans="1:15" ht="16.2" thickBot="1" x14ac:dyDescent="0.3">
      <c r="A19" s="87"/>
      <c r="B19" s="88"/>
      <c r="C19" s="89" t="s">
        <v>17</v>
      </c>
      <c r="D19" s="90">
        <f t="shared" ref="D19:O19" si="1">SUM(D6:D18)</f>
        <v>0</v>
      </c>
      <c r="E19" s="91">
        <f t="shared" si="1"/>
        <v>0</v>
      </c>
      <c r="F19" s="91">
        <f t="shared" si="1"/>
        <v>0</v>
      </c>
      <c r="G19" s="91">
        <f t="shared" si="1"/>
        <v>0</v>
      </c>
      <c r="H19" s="91">
        <f t="shared" si="1"/>
        <v>0</v>
      </c>
      <c r="I19" s="91">
        <f t="shared" si="1"/>
        <v>0</v>
      </c>
      <c r="J19" s="91">
        <f t="shared" si="1"/>
        <v>0</v>
      </c>
      <c r="K19" s="91">
        <f t="shared" si="1"/>
        <v>0</v>
      </c>
      <c r="L19" s="91">
        <f t="shared" si="1"/>
        <v>0</v>
      </c>
      <c r="M19" s="91">
        <f t="shared" si="1"/>
        <v>0</v>
      </c>
      <c r="N19" s="91">
        <f t="shared" si="1"/>
        <v>0</v>
      </c>
      <c r="O19" s="92">
        <f t="shared" si="1"/>
        <v>0</v>
      </c>
    </row>
    <row r="20" spans="1:15" ht="12.75" customHeight="1" x14ac:dyDescent="0.25">
      <c r="A20" s="87"/>
      <c r="B20" s="93"/>
      <c r="C20" s="93"/>
      <c r="D20" s="236" t="s">
        <v>18</v>
      </c>
      <c r="E20" s="236" t="s">
        <v>19</v>
      </c>
      <c r="F20" s="236" t="s">
        <v>19</v>
      </c>
      <c r="G20" s="237" t="s">
        <v>20</v>
      </c>
      <c r="H20" s="93"/>
      <c r="N20" s="93"/>
      <c r="O20" s="103"/>
    </row>
    <row r="21" spans="1:15" ht="13.8" thickBot="1" x14ac:dyDescent="0.3">
      <c r="A21" s="97"/>
      <c r="B21" s="72"/>
      <c r="C21" s="72" t="s">
        <v>71</v>
      </c>
      <c r="D21" s="98">
        <f>SUM(E19:O19)-D19</f>
        <v>0</v>
      </c>
      <c r="E21" s="253" t="str">
        <f>IF(D21=0,"","ERROR - figures do not add across")</f>
        <v/>
      </c>
      <c r="F21" s="72"/>
      <c r="G21" s="72"/>
      <c r="H21" s="72"/>
      <c r="I21" s="72"/>
      <c r="J21" s="72"/>
      <c r="K21" s="72"/>
      <c r="L21" s="72"/>
      <c r="M21" s="72"/>
      <c r="N21" s="72"/>
      <c r="O21" s="99"/>
    </row>
    <row r="23" spans="1:15" ht="13.8" thickBot="1" x14ac:dyDescent="0.3"/>
    <row r="24" spans="1:15" ht="18" thickBot="1" x14ac:dyDescent="0.3">
      <c r="A24" s="100" t="s">
        <v>21</v>
      </c>
      <c r="B24" s="101"/>
      <c r="C24" s="61"/>
      <c r="D24" s="68"/>
      <c r="E24" s="68"/>
      <c r="F24" s="68"/>
      <c r="G24" s="68"/>
      <c r="H24" s="68"/>
      <c r="I24" s="68"/>
      <c r="J24" s="68"/>
      <c r="K24" s="68"/>
      <c r="L24" s="68"/>
      <c r="M24" s="68"/>
      <c r="N24" s="239" t="s">
        <v>10</v>
      </c>
      <c r="O24" s="70">
        <f>O3</f>
        <v>40844</v>
      </c>
    </row>
    <row r="25" spans="1:15" ht="13.8" thickBot="1" x14ac:dyDescent="0.3">
      <c r="A25" s="102"/>
      <c r="B25" s="93"/>
      <c r="C25" s="93"/>
      <c r="D25" s="93"/>
      <c r="E25" s="93"/>
      <c r="F25" s="93"/>
      <c r="G25" s="93"/>
      <c r="H25" s="93"/>
      <c r="I25" s="93"/>
      <c r="J25" s="93"/>
      <c r="K25" s="93"/>
      <c r="L25" s="93"/>
      <c r="M25" s="93"/>
      <c r="N25" s="93"/>
      <c r="O25" s="103"/>
    </row>
    <row r="26" spans="1:15" s="79" customFormat="1" ht="27" customHeight="1" thickBot="1" x14ac:dyDescent="0.3">
      <c r="A26" s="104" t="s">
        <v>12</v>
      </c>
      <c r="B26" s="75" t="s">
        <v>68</v>
      </c>
      <c r="C26" s="105" t="s">
        <v>123</v>
      </c>
      <c r="D26" s="106" t="s">
        <v>63</v>
      </c>
      <c r="E26" s="107" t="str">
        <f>'Month 6'!E26</f>
        <v>PAYE/NI</v>
      </c>
      <c r="F26" s="107" t="str">
        <f>'Month 6'!F26</f>
        <v>Net Wages</v>
      </c>
      <c r="G26" s="107" t="str">
        <f>'Month 6'!G26</f>
        <v>Dividends</v>
      </c>
      <c r="H26" s="107" t="str">
        <f>'Month 6'!H26</f>
        <v>Company Dep A/C</v>
      </c>
      <c r="I26" s="107" t="str">
        <f>'Month 6'!I26</f>
        <v>Company Pension</v>
      </c>
      <c r="J26" s="107" t="str">
        <f>'Month 6'!J26</f>
        <v>Motor &amp; Travel</v>
      </c>
      <c r="K26" s="107" t="str">
        <f>'Month 6'!K26</f>
        <v>Standing Orders</v>
      </c>
      <c r="L26" s="107" t="str">
        <f>'Month 6'!L26</f>
        <v>Petty Cash</v>
      </c>
      <c r="M26" s="107" t="s">
        <v>143</v>
      </c>
      <c r="N26" s="107" t="str">
        <f>'Month 6'!N26</f>
        <v>Sundries</v>
      </c>
      <c r="O26" s="78" t="s">
        <v>142</v>
      </c>
    </row>
    <row r="27" spans="1:15" x14ac:dyDescent="0.25">
      <c r="A27" s="80"/>
      <c r="B27" s="81"/>
      <c r="C27" s="60"/>
      <c r="D27" s="83">
        <f t="shared" ref="D27:D40" si="2">SUM(E27:O27)</f>
        <v>0</v>
      </c>
      <c r="E27" s="84"/>
      <c r="F27" s="84"/>
      <c r="G27" s="84"/>
      <c r="H27" s="84"/>
      <c r="I27" s="84"/>
      <c r="J27" s="84"/>
      <c r="K27" s="84"/>
      <c r="L27" s="84"/>
      <c r="M27" s="84"/>
      <c r="N27" s="84"/>
      <c r="O27" s="86"/>
    </row>
    <row r="28" spans="1:15" x14ac:dyDescent="0.25">
      <c r="A28" s="80"/>
      <c r="B28" s="81"/>
      <c r="C28" s="60"/>
      <c r="D28" s="83">
        <f t="shared" si="2"/>
        <v>0</v>
      </c>
      <c r="E28" s="84"/>
      <c r="F28" s="84"/>
      <c r="G28" s="84"/>
      <c r="H28" s="84"/>
      <c r="I28" s="84"/>
      <c r="J28" s="84"/>
      <c r="K28" s="84"/>
      <c r="L28" s="84"/>
      <c r="M28" s="84"/>
      <c r="N28" s="84"/>
      <c r="O28" s="86"/>
    </row>
    <row r="29" spans="1:15" x14ac:dyDescent="0.25">
      <c r="A29" s="80"/>
      <c r="B29" s="81"/>
      <c r="C29" s="60"/>
      <c r="D29" s="83">
        <f t="shared" si="2"/>
        <v>0</v>
      </c>
      <c r="E29" s="84"/>
      <c r="F29" s="84"/>
      <c r="G29" s="84"/>
      <c r="H29" s="84"/>
      <c r="I29" s="84"/>
      <c r="J29" s="84"/>
      <c r="K29" s="84"/>
      <c r="L29" s="84"/>
      <c r="M29" s="84"/>
      <c r="N29" s="84"/>
      <c r="O29" s="86"/>
    </row>
    <row r="30" spans="1:15" x14ac:dyDescent="0.25">
      <c r="A30" s="80"/>
      <c r="B30" s="81"/>
      <c r="C30" s="60"/>
      <c r="D30" s="83">
        <f t="shared" si="2"/>
        <v>0</v>
      </c>
      <c r="E30" s="84"/>
      <c r="F30" s="84"/>
      <c r="G30" s="84"/>
      <c r="H30" s="84"/>
      <c r="I30" s="84"/>
      <c r="J30" s="84"/>
      <c r="K30" s="84"/>
      <c r="L30" s="84"/>
      <c r="M30" s="84"/>
      <c r="N30" s="84"/>
      <c r="O30" s="86"/>
    </row>
    <row r="31" spans="1:15" x14ac:dyDescent="0.25">
      <c r="A31" s="80"/>
      <c r="B31" s="81"/>
      <c r="C31" s="60"/>
      <c r="D31" s="83">
        <f t="shared" si="2"/>
        <v>0</v>
      </c>
      <c r="E31" s="84"/>
      <c r="F31" s="84"/>
      <c r="G31" s="84"/>
      <c r="H31" s="84"/>
      <c r="I31" s="84"/>
      <c r="J31" s="84"/>
      <c r="K31" s="84"/>
      <c r="L31" s="84"/>
      <c r="M31" s="84"/>
      <c r="N31" s="84"/>
      <c r="O31" s="86"/>
    </row>
    <row r="32" spans="1:15" x14ac:dyDescent="0.25">
      <c r="A32" s="80"/>
      <c r="B32" s="81"/>
      <c r="C32" s="60"/>
      <c r="D32" s="83">
        <f t="shared" si="2"/>
        <v>0</v>
      </c>
      <c r="E32" s="84"/>
      <c r="F32" s="84"/>
      <c r="G32" s="84"/>
      <c r="H32" s="84"/>
      <c r="I32" s="84"/>
      <c r="J32" s="84"/>
      <c r="K32" s="84"/>
      <c r="L32" s="84"/>
      <c r="M32" s="84"/>
      <c r="N32" s="84"/>
      <c r="O32" s="86"/>
    </row>
    <row r="33" spans="1:15" x14ac:dyDescent="0.25">
      <c r="A33" s="80"/>
      <c r="B33" s="81"/>
      <c r="C33" s="60"/>
      <c r="D33" s="83">
        <f t="shared" si="2"/>
        <v>0</v>
      </c>
      <c r="E33" s="84"/>
      <c r="F33" s="84"/>
      <c r="G33" s="84"/>
      <c r="H33" s="84"/>
      <c r="I33" s="84"/>
      <c r="J33" s="84"/>
      <c r="K33" s="84"/>
      <c r="L33" s="84"/>
      <c r="M33" s="84"/>
      <c r="N33" s="84"/>
      <c r="O33" s="86"/>
    </row>
    <row r="34" spans="1:15" x14ac:dyDescent="0.25">
      <c r="A34" s="80"/>
      <c r="B34" s="81"/>
      <c r="C34" s="60"/>
      <c r="D34" s="83">
        <f t="shared" si="2"/>
        <v>0</v>
      </c>
      <c r="E34" s="84"/>
      <c r="F34" s="84"/>
      <c r="G34" s="84"/>
      <c r="H34" s="84"/>
      <c r="I34" s="84"/>
      <c r="J34" s="84"/>
      <c r="K34" s="84"/>
      <c r="L34" s="84"/>
      <c r="M34" s="84"/>
      <c r="N34" s="84"/>
      <c r="O34" s="86"/>
    </row>
    <row r="35" spans="1:15" x14ac:dyDescent="0.25">
      <c r="A35" s="80"/>
      <c r="B35" s="81"/>
      <c r="C35" s="60"/>
      <c r="D35" s="83">
        <f t="shared" si="2"/>
        <v>0</v>
      </c>
      <c r="E35" s="84"/>
      <c r="F35" s="84"/>
      <c r="G35" s="84"/>
      <c r="H35" s="84"/>
      <c r="I35" s="84"/>
      <c r="J35" s="84"/>
      <c r="K35" s="84"/>
      <c r="L35" s="84"/>
      <c r="M35" s="84"/>
      <c r="N35" s="84"/>
      <c r="O35" s="86"/>
    </row>
    <row r="36" spans="1:15" x14ac:dyDescent="0.25">
      <c r="A36" s="80"/>
      <c r="B36" s="81"/>
      <c r="C36" s="60"/>
      <c r="D36" s="83">
        <f t="shared" si="2"/>
        <v>0</v>
      </c>
      <c r="E36" s="84"/>
      <c r="F36" s="84"/>
      <c r="G36" s="84"/>
      <c r="H36" s="84"/>
      <c r="I36" s="84"/>
      <c r="J36" s="84"/>
      <c r="K36" s="84"/>
      <c r="L36" s="84"/>
      <c r="M36" s="84"/>
      <c r="N36" s="84"/>
      <c r="O36" s="86"/>
    </row>
    <row r="37" spans="1:15" x14ac:dyDescent="0.25">
      <c r="A37" s="80"/>
      <c r="B37" s="81"/>
      <c r="C37" s="60"/>
      <c r="D37" s="83">
        <f t="shared" si="2"/>
        <v>0</v>
      </c>
      <c r="E37" s="84"/>
      <c r="F37" s="84"/>
      <c r="G37" s="84"/>
      <c r="H37" s="84"/>
      <c r="I37" s="84"/>
      <c r="J37" s="84"/>
      <c r="K37" s="84"/>
      <c r="L37" s="84"/>
      <c r="M37" s="84"/>
      <c r="N37" s="84"/>
      <c r="O37" s="86"/>
    </row>
    <row r="38" spans="1:15" x14ac:dyDescent="0.25">
      <c r="A38" s="80"/>
      <c r="B38" s="81"/>
      <c r="C38" s="60"/>
      <c r="D38" s="83">
        <f t="shared" si="2"/>
        <v>0</v>
      </c>
      <c r="E38" s="84"/>
      <c r="F38" s="84"/>
      <c r="G38" s="84"/>
      <c r="H38" s="84"/>
      <c r="I38" s="84"/>
      <c r="J38" s="84"/>
      <c r="K38" s="84"/>
      <c r="L38" s="84"/>
      <c r="M38" s="84"/>
      <c r="N38" s="84"/>
      <c r="O38" s="86"/>
    </row>
    <row r="39" spans="1:15" x14ac:dyDescent="0.25">
      <c r="A39" s="80"/>
      <c r="B39" s="81"/>
      <c r="C39" s="60"/>
      <c r="D39" s="83">
        <f t="shared" si="2"/>
        <v>0</v>
      </c>
      <c r="E39" s="84"/>
      <c r="F39" s="84"/>
      <c r="G39" s="84"/>
      <c r="H39" s="84"/>
      <c r="I39" s="84"/>
      <c r="J39" s="84"/>
      <c r="K39" s="84"/>
      <c r="L39" s="84"/>
      <c r="M39" s="84"/>
      <c r="N39" s="84"/>
      <c r="O39" s="86"/>
    </row>
    <row r="40" spans="1:15" x14ac:dyDescent="0.25">
      <c r="A40" s="80"/>
      <c r="B40" s="81"/>
      <c r="C40" s="60"/>
      <c r="D40" s="83">
        <f t="shared" si="2"/>
        <v>0</v>
      </c>
      <c r="E40" s="84"/>
      <c r="F40" s="84"/>
      <c r="G40" s="84"/>
      <c r="H40" s="84"/>
      <c r="I40" s="84"/>
      <c r="J40" s="84"/>
      <c r="K40" s="84"/>
      <c r="L40" s="84"/>
      <c r="M40" s="84"/>
      <c r="N40" s="84"/>
      <c r="O40" s="86"/>
    </row>
    <row r="41" spans="1:15" ht="13.8" thickBot="1" x14ac:dyDescent="0.3">
      <c r="A41" s="80"/>
      <c r="B41" s="81"/>
      <c r="C41" s="60"/>
      <c r="D41" s="83"/>
      <c r="E41" s="84"/>
      <c r="F41" s="84"/>
      <c r="G41" s="84"/>
      <c r="H41" s="84"/>
      <c r="I41" s="84"/>
      <c r="J41" s="84"/>
      <c r="K41" s="84"/>
      <c r="L41" s="84"/>
      <c r="M41" s="84"/>
      <c r="N41" s="84"/>
      <c r="O41" s="86"/>
    </row>
    <row r="42" spans="1:15" ht="16.2" thickBot="1" x14ac:dyDescent="0.3">
      <c r="A42" s="87"/>
      <c r="B42" s="88"/>
      <c r="C42" s="89" t="s">
        <v>17</v>
      </c>
      <c r="D42" s="90">
        <f t="shared" ref="D42:O42" si="3">SUM(D27:D41)</f>
        <v>0</v>
      </c>
      <c r="E42" s="91">
        <f t="shared" si="3"/>
        <v>0</v>
      </c>
      <c r="F42" s="91">
        <f t="shared" si="3"/>
        <v>0</v>
      </c>
      <c r="G42" s="91">
        <f t="shared" si="3"/>
        <v>0</v>
      </c>
      <c r="H42" s="91">
        <f t="shared" si="3"/>
        <v>0</v>
      </c>
      <c r="I42" s="91">
        <f t="shared" si="3"/>
        <v>0</v>
      </c>
      <c r="J42" s="91">
        <f t="shared" si="3"/>
        <v>0</v>
      </c>
      <c r="K42" s="91">
        <f>SUM(K27:K41)</f>
        <v>0</v>
      </c>
      <c r="L42" s="91">
        <f>SUM(L27:L41)</f>
        <v>0</v>
      </c>
      <c r="M42" s="91">
        <f t="shared" si="3"/>
        <v>0</v>
      </c>
      <c r="N42" s="91">
        <f t="shared" si="3"/>
        <v>0</v>
      </c>
      <c r="O42" s="92">
        <f t="shared" si="3"/>
        <v>0</v>
      </c>
    </row>
    <row r="43" spans="1:15" ht="13.8" x14ac:dyDescent="0.25">
      <c r="A43" s="87"/>
      <c r="B43" s="93"/>
      <c r="C43" s="93"/>
      <c r="D43" s="94" t="s">
        <v>26</v>
      </c>
      <c r="E43" s="93"/>
      <c r="F43" s="93"/>
      <c r="G43" s="93"/>
      <c r="H43" s="93"/>
      <c r="I43" s="93"/>
      <c r="J43" s="93"/>
      <c r="K43" s="93"/>
      <c r="L43" s="93"/>
      <c r="M43" s="93"/>
      <c r="N43" s="93"/>
      <c r="O43" s="108" t="s">
        <v>27</v>
      </c>
    </row>
    <row r="44" spans="1:15" ht="13.8" thickBot="1" x14ac:dyDescent="0.3">
      <c r="A44" s="97"/>
      <c r="B44" s="72"/>
      <c r="C44" s="72" t="s">
        <v>71</v>
      </c>
      <c r="D44" s="98">
        <f>SUM(E42:O42)-D42</f>
        <v>0</v>
      </c>
      <c r="E44" s="253" t="str">
        <f>IF(D44=0,"","ERROR - figures do not add across")</f>
        <v/>
      </c>
      <c r="F44" s="72"/>
      <c r="G44" s="72"/>
      <c r="H44" s="72"/>
      <c r="I44" s="72"/>
      <c r="J44" s="72"/>
      <c r="K44" s="72"/>
      <c r="L44" s="72"/>
      <c r="M44" s="72"/>
      <c r="N44" s="72"/>
      <c r="O44" s="99"/>
    </row>
    <row r="46" spans="1:15" ht="13.8" thickBot="1" x14ac:dyDescent="0.3"/>
    <row r="47" spans="1:15" ht="18" thickBot="1" x14ac:dyDescent="0.3">
      <c r="A47" s="109" t="s">
        <v>28</v>
      </c>
      <c r="B47" s="61"/>
      <c r="C47" s="61"/>
      <c r="D47" s="110"/>
      <c r="E47" s="239" t="s">
        <v>10</v>
      </c>
      <c r="F47" s="70">
        <f>O3</f>
        <v>40844</v>
      </c>
      <c r="H47" s="109" t="s">
        <v>132</v>
      </c>
      <c r="I47" s="61"/>
      <c r="J47" s="61"/>
      <c r="K47" s="68"/>
      <c r="L47" s="68"/>
      <c r="M47" s="68"/>
      <c r="N47" s="239" t="s">
        <v>10</v>
      </c>
      <c r="O47" s="70">
        <f>F47</f>
        <v>40844</v>
      </c>
    </row>
    <row r="48" spans="1:15" x14ac:dyDescent="0.25">
      <c r="A48" s="102"/>
      <c r="B48" s="93"/>
      <c r="C48" s="93"/>
      <c r="D48" s="93"/>
      <c r="E48" s="93"/>
      <c r="F48" s="103"/>
      <c r="H48" s="102"/>
      <c r="I48" s="93"/>
      <c r="J48" s="93"/>
      <c r="K48" s="93"/>
      <c r="L48" s="93"/>
      <c r="M48" s="93"/>
      <c r="N48" s="93"/>
      <c r="O48" s="103"/>
    </row>
    <row r="49" spans="1:15" x14ac:dyDescent="0.25">
      <c r="A49" s="111" t="s">
        <v>29</v>
      </c>
      <c r="B49" s="93"/>
      <c r="C49" s="93"/>
      <c r="D49" s="93"/>
      <c r="E49" s="83">
        <f>'Month 6'!E53</f>
        <v>0</v>
      </c>
      <c r="F49" s="103"/>
      <c r="H49" s="112"/>
      <c r="I49" s="93"/>
      <c r="J49" s="93"/>
      <c r="K49" s="93"/>
      <c r="L49" s="93"/>
      <c r="M49" s="93"/>
      <c r="N49" s="93"/>
      <c r="O49" s="103"/>
    </row>
    <row r="50" spans="1:15" ht="14.4" thickBot="1" x14ac:dyDescent="0.3">
      <c r="A50" s="111" t="s">
        <v>30</v>
      </c>
      <c r="B50" s="93"/>
      <c r="C50" s="94"/>
      <c r="D50" s="94" t="s">
        <v>18</v>
      </c>
      <c r="E50" s="113">
        <f>+D19</f>
        <v>0</v>
      </c>
      <c r="F50" s="103"/>
      <c r="H50" s="112" t="s">
        <v>29</v>
      </c>
      <c r="I50" s="93"/>
      <c r="J50" s="93"/>
      <c r="K50" s="93"/>
      <c r="L50" s="93"/>
      <c r="N50" s="114">
        <f>'Month 6'!N56</f>
        <v>0</v>
      </c>
      <c r="O50" s="103"/>
    </row>
    <row r="51" spans="1:15" ht="13.8" x14ac:dyDescent="0.25">
      <c r="A51" s="111"/>
      <c r="B51" s="93"/>
      <c r="C51" s="94"/>
      <c r="D51" s="94"/>
      <c r="E51" s="83">
        <f>SUM(E49:E50)</f>
        <v>0</v>
      </c>
      <c r="F51" s="103"/>
      <c r="H51" s="112"/>
      <c r="I51" s="93"/>
      <c r="J51" s="93"/>
      <c r="K51" s="93"/>
      <c r="L51" s="93"/>
      <c r="N51" s="114"/>
      <c r="O51" s="103"/>
    </row>
    <row r="52" spans="1:15" ht="14.4" thickBot="1" x14ac:dyDescent="0.3">
      <c r="A52" s="111" t="s">
        <v>59</v>
      </c>
      <c r="B52" s="93"/>
      <c r="C52" s="94"/>
      <c r="D52" s="94" t="s">
        <v>26</v>
      </c>
      <c r="E52" s="83">
        <f>+D42</f>
        <v>0</v>
      </c>
      <c r="F52" s="103"/>
      <c r="H52" s="112" t="s">
        <v>133</v>
      </c>
      <c r="I52" s="93"/>
      <c r="J52" s="93"/>
      <c r="K52" s="93"/>
      <c r="L52" s="93"/>
      <c r="N52" s="114">
        <f>L42</f>
        <v>0</v>
      </c>
      <c r="O52" s="103"/>
    </row>
    <row r="53" spans="1:15" ht="14.4" thickBot="1" x14ac:dyDescent="0.3">
      <c r="A53" s="111" t="s">
        <v>31</v>
      </c>
      <c r="B53" s="94"/>
      <c r="C53" s="94"/>
      <c r="D53" s="108" t="s">
        <v>32</v>
      </c>
      <c r="E53" s="115">
        <f>SUM(E51-E52)</f>
        <v>0</v>
      </c>
      <c r="F53" s="103"/>
      <c r="H53" s="112"/>
      <c r="I53" s="93"/>
      <c r="J53" s="93"/>
      <c r="K53" s="93"/>
      <c r="L53" s="93"/>
      <c r="N53" s="114"/>
      <c r="O53" s="103"/>
    </row>
    <row r="54" spans="1:15" ht="13.8" thickBot="1" x14ac:dyDescent="0.3">
      <c r="A54" s="102"/>
      <c r="B54" s="93"/>
      <c r="C54" s="93"/>
      <c r="D54" s="93"/>
      <c r="E54" s="93"/>
      <c r="F54" s="103"/>
      <c r="H54" s="112" t="s">
        <v>134</v>
      </c>
      <c r="I54" s="93"/>
      <c r="J54" s="93"/>
      <c r="K54" s="93"/>
      <c r="L54" s="93"/>
      <c r="N54" s="114">
        <f>-D88</f>
        <v>0</v>
      </c>
      <c r="O54" s="103"/>
    </row>
    <row r="55" spans="1:15" ht="18" thickBot="1" x14ac:dyDescent="0.3">
      <c r="A55" s="116" t="s">
        <v>33</v>
      </c>
      <c r="B55" s="117"/>
      <c r="C55" s="61"/>
      <c r="D55" s="118"/>
      <c r="E55" s="93"/>
      <c r="F55" s="103"/>
      <c r="H55" s="112"/>
      <c r="I55" s="93"/>
      <c r="J55" s="93"/>
      <c r="K55" s="93"/>
      <c r="L55" s="93"/>
      <c r="N55" s="114"/>
      <c r="O55" s="103"/>
    </row>
    <row r="56" spans="1:15" ht="13.8" thickBot="1" x14ac:dyDescent="0.3">
      <c r="A56" s="102"/>
      <c r="B56" s="93"/>
      <c r="C56" s="93"/>
      <c r="D56" s="93"/>
      <c r="E56" s="93"/>
      <c r="F56" s="103"/>
      <c r="H56" s="112" t="s">
        <v>31</v>
      </c>
      <c r="I56" s="93"/>
      <c r="J56" s="93"/>
      <c r="K56" s="93"/>
      <c r="L56" s="93"/>
      <c r="N56" s="119">
        <f>SUM(N50:N55)</f>
        <v>0</v>
      </c>
      <c r="O56" s="103"/>
    </row>
    <row r="57" spans="1:15" ht="13.8" thickBot="1" x14ac:dyDescent="0.3">
      <c r="A57" s="111" t="s">
        <v>34</v>
      </c>
      <c r="B57" s="93"/>
      <c r="C57" s="120"/>
      <c r="D57" s="121"/>
      <c r="E57" s="122"/>
      <c r="F57" s="103"/>
      <c r="H57" s="102"/>
      <c r="I57" s="93"/>
      <c r="J57" s="93"/>
      <c r="K57" s="93"/>
      <c r="L57" s="93"/>
      <c r="M57" s="93"/>
      <c r="N57" s="93"/>
      <c r="O57" s="103"/>
    </row>
    <row r="58" spans="1:15" x14ac:dyDescent="0.25">
      <c r="A58" s="111"/>
      <c r="B58" s="93"/>
      <c r="C58" s="120"/>
      <c r="D58" s="121"/>
      <c r="E58" s="83"/>
      <c r="F58" s="103"/>
      <c r="H58" s="102"/>
      <c r="I58" s="93"/>
      <c r="J58" s="93"/>
      <c r="K58" s="93"/>
      <c r="L58" s="93"/>
      <c r="M58" s="93"/>
      <c r="N58" s="93"/>
      <c r="O58" s="103"/>
    </row>
    <row r="59" spans="1:15" x14ac:dyDescent="0.25">
      <c r="A59" s="111" t="s">
        <v>35</v>
      </c>
      <c r="B59" s="93"/>
      <c r="C59" s="120"/>
      <c r="D59" s="123"/>
      <c r="E59" s="83"/>
      <c r="F59" s="103"/>
      <c r="H59" s="102"/>
      <c r="I59" s="93"/>
      <c r="J59" s="93"/>
      <c r="K59" s="93"/>
      <c r="L59" s="93"/>
      <c r="M59" s="93"/>
      <c r="N59" s="93"/>
      <c r="O59" s="103"/>
    </row>
    <row r="60" spans="1:15" x14ac:dyDescent="0.25">
      <c r="A60" s="124"/>
      <c r="B60" s="52"/>
      <c r="C60" s="125"/>
      <c r="D60" s="126"/>
      <c r="E60" s="83"/>
      <c r="F60" s="103"/>
      <c r="H60" s="102"/>
      <c r="I60" s="93"/>
      <c r="J60" s="93"/>
      <c r="K60" s="93"/>
      <c r="L60" s="93"/>
      <c r="M60" s="93"/>
      <c r="N60" s="93"/>
      <c r="O60" s="103"/>
    </row>
    <row r="61" spans="1:15" ht="13.8" thickBot="1" x14ac:dyDescent="0.3">
      <c r="A61" s="124"/>
      <c r="B61" s="52"/>
      <c r="C61" s="125"/>
      <c r="D61" s="126"/>
      <c r="E61" s="127">
        <f>SUM(D59:D61)</f>
        <v>0</v>
      </c>
      <c r="F61" s="103"/>
      <c r="H61" s="102"/>
      <c r="I61" s="93"/>
      <c r="J61" s="93"/>
      <c r="K61" s="93"/>
      <c r="L61" s="93"/>
      <c r="M61" s="93"/>
      <c r="N61" s="93"/>
      <c r="O61" s="103"/>
    </row>
    <row r="62" spans="1:15" x14ac:dyDescent="0.25">
      <c r="A62" s="111"/>
      <c r="B62" s="93"/>
      <c r="C62" s="120"/>
      <c r="D62" s="123"/>
      <c r="E62" s="83">
        <f>SUM(E57:E61)</f>
        <v>0</v>
      </c>
      <c r="F62" s="103"/>
      <c r="H62" s="102"/>
      <c r="I62" s="93"/>
      <c r="J62" s="93"/>
      <c r="K62" s="93"/>
      <c r="L62" s="93"/>
      <c r="M62" s="93"/>
      <c r="N62" s="93"/>
      <c r="O62" s="103"/>
    </row>
    <row r="63" spans="1:15" x14ac:dyDescent="0.25">
      <c r="A63" s="111" t="s">
        <v>36</v>
      </c>
      <c r="B63" s="93"/>
      <c r="C63" s="128"/>
      <c r="D63" s="129"/>
      <c r="E63" s="83"/>
      <c r="F63" s="103"/>
      <c r="H63" s="102"/>
      <c r="I63" s="93"/>
      <c r="J63" s="93"/>
      <c r="K63" s="93"/>
      <c r="L63" s="93"/>
      <c r="M63" s="93"/>
      <c r="N63" s="93"/>
      <c r="O63" s="103"/>
    </row>
    <row r="64" spans="1:15" x14ac:dyDescent="0.25">
      <c r="A64" s="124"/>
      <c r="B64" s="52"/>
      <c r="C64" s="60"/>
      <c r="D64" s="130"/>
      <c r="E64" s="83"/>
      <c r="F64" s="103"/>
      <c r="H64" s="102"/>
      <c r="I64" s="93"/>
      <c r="J64" s="93"/>
      <c r="K64" s="93"/>
      <c r="L64" s="93"/>
      <c r="M64" s="93"/>
      <c r="N64" s="93"/>
      <c r="O64" s="103"/>
    </row>
    <row r="65" spans="1:15" x14ac:dyDescent="0.25">
      <c r="A65" s="124"/>
      <c r="B65" s="52"/>
      <c r="C65" s="60"/>
      <c r="D65" s="130"/>
      <c r="E65" s="83"/>
      <c r="F65" s="103"/>
      <c r="H65" s="102"/>
      <c r="I65" s="93"/>
      <c r="J65" s="93"/>
      <c r="K65" s="93"/>
      <c r="L65" s="93"/>
      <c r="M65" s="93"/>
      <c r="N65" s="93"/>
      <c r="O65" s="103"/>
    </row>
    <row r="66" spans="1:15" ht="13.8" thickBot="1" x14ac:dyDescent="0.3">
      <c r="A66" s="124"/>
      <c r="B66" s="52"/>
      <c r="C66" s="125"/>
      <c r="D66" s="126"/>
      <c r="E66" s="83">
        <f>SUM(D63:D66)</f>
        <v>0</v>
      </c>
      <c r="F66" s="103"/>
      <c r="H66" s="102"/>
      <c r="I66" s="93"/>
      <c r="J66" s="93"/>
      <c r="K66" s="93"/>
      <c r="L66" s="93"/>
      <c r="M66" s="93"/>
      <c r="N66" s="93"/>
      <c r="O66" s="103"/>
    </row>
    <row r="67" spans="1:15" ht="16.2" thickBot="1" x14ac:dyDescent="0.3">
      <c r="A67" s="131" t="s">
        <v>37</v>
      </c>
      <c r="B67" s="132"/>
      <c r="C67" s="132"/>
      <c r="D67" s="132" t="s">
        <v>32</v>
      </c>
      <c r="E67" s="115">
        <f>SUM(E62-E66)</f>
        <v>0</v>
      </c>
      <c r="F67" s="99"/>
      <c r="H67" s="133"/>
      <c r="I67" s="72"/>
      <c r="J67" s="72"/>
      <c r="K67" s="72"/>
      <c r="L67" s="72"/>
      <c r="M67" s="72"/>
      <c r="N67" s="72"/>
      <c r="O67" s="99"/>
    </row>
    <row r="69" spans="1:15" ht="13.8" thickBot="1" x14ac:dyDescent="0.3"/>
    <row r="70" spans="1:15" ht="18" thickBot="1" x14ac:dyDescent="0.3">
      <c r="A70" s="100" t="s">
        <v>38</v>
      </c>
      <c r="B70" s="101"/>
      <c r="C70" s="61"/>
      <c r="D70" s="68"/>
      <c r="E70" s="68"/>
      <c r="F70" s="68"/>
      <c r="G70" s="68"/>
      <c r="H70" s="68"/>
      <c r="I70" s="68"/>
      <c r="J70" s="68"/>
      <c r="K70" s="68"/>
      <c r="L70" s="68"/>
      <c r="M70" s="68"/>
      <c r="N70" s="239" t="s">
        <v>10</v>
      </c>
      <c r="O70" s="70">
        <f>O3</f>
        <v>40844</v>
      </c>
    </row>
    <row r="71" spans="1:15" ht="13.8" thickBot="1" x14ac:dyDescent="0.3">
      <c r="A71" s="102"/>
      <c r="B71" s="93"/>
      <c r="C71" s="93"/>
      <c r="D71" s="93"/>
      <c r="E71" s="93"/>
      <c r="F71" s="93"/>
      <c r="G71" s="93"/>
      <c r="H71" s="93"/>
      <c r="I71" s="93"/>
      <c r="J71" s="93"/>
      <c r="K71" s="93"/>
      <c r="L71" s="93"/>
      <c r="M71" s="93"/>
      <c r="N71" s="93"/>
      <c r="O71" s="103"/>
    </row>
    <row r="72" spans="1:15" s="79" customFormat="1" ht="27" customHeight="1" thickBot="1" x14ac:dyDescent="0.3">
      <c r="A72" s="74" t="s">
        <v>12</v>
      </c>
      <c r="B72" s="75" t="s">
        <v>129</v>
      </c>
      <c r="C72" s="105" t="s">
        <v>123</v>
      </c>
      <c r="D72" s="106" t="s">
        <v>64</v>
      </c>
      <c r="E72" s="107" t="str">
        <f>'Month 6'!E72</f>
        <v>Motor &amp; Travel</v>
      </c>
      <c r="F72" s="107" t="str">
        <f>'Month 6'!F72</f>
        <v>Print, Post Stationery</v>
      </c>
      <c r="G72" s="107" t="str">
        <f>'Month 6'!G72</f>
        <v>Subsist Accom</v>
      </c>
      <c r="H72" s="107" t="str">
        <f>'Month 6'!H72</f>
        <v>Software &amp; Materials</v>
      </c>
      <c r="I72" s="77" t="str">
        <f>'Month 6'!I72</f>
        <v>Books &amp; Magazines</v>
      </c>
      <c r="J72" s="107" t="str">
        <f>'Month 6'!J72</f>
        <v>Mobile &amp; Telephone</v>
      </c>
      <c r="K72" s="107" t="str">
        <f>'Month 6'!K72</f>
        <v xml:space="preserve"> </v>
      </c>
      <c r="L72" s="107" t="str">
        <f>'Month 6'!L72</f>
        <v xml:space="preserve"> </v>
      </c>
      <c r="M72" s="107" t="str">
        <f>'Month 6'!M72</f>
        <v xml:space="preserve"> </v>
      </c>
      <c r="N72" s="107" t="str">
        <f>'Month 6'!N72</f>
        <v>Sundries</v>
      </c>
      <c r="O72" s="134" t="s">
        <v>142</v>
      </c>
    </row>
    <row r="73" spans="1:15" x14ac:dyDescent="0.25">
      <c r="A73" s="80"/>
      <c r="B73" s="81"/>
      <c r="C73" s="60"/>
      <c r="D73" s="83">
        <f t="shared" ref="D73:D86" si="4">SUM(E73:O73)</f>
        <v>0</v>
      </c>
      <c r="E73" s="84"/>
      <c r="F73" s="84"/>
      <c r="G73" s="84"/>
      <c r="H73" s="84"/>
      <c r="I73" s="84"/>
      <c r="J73" s="84"/>
      <c r="K73" s="84"/>
      <c r="L73" s="84"/>
      <c r="M73" s="84"/>
      <c r="N73" s="84"/>
      <c r="O73" s="86"/>
    </row>
    <row r="74" spans="1:15" x14ac:dyDescent="0.25">
      <c r="A74" s="80"/>
      <c r="B74" s="81"/>
      <c r="C74" s="60"/>
      <c r="D74" s="83">
        <f t="shared" si="4"/>
        <v>0</v>
      </c>
      <c r="E74" s="84"/>
      <c r="F74" s="84"/>
      <c r="G74" s="84"/>
      <c r="H74" s="84"/>
      <c r="I74" s="84"/>
      <c r="J74" s="84"/>
      <c r="K74" s="84"/>
      <c r="L74" s="84"/>
      <c r="M74" s="84"/>
      <c r="N74" s="84"/>
      <c r="O74" s="86"/>
    </row>
    <row r="75" spans="1:15" x14ac:dyDescent="0.25">
      <c r="A75" s="80"/>
      <c r="B75" s="81"/>
      <c r="C75" s="60"/>
      <c r="D75" s="83">
        <f t="shared" si="4"/>
        <v>0</v>
      </c>
      <c r="E75" s="84"/>
      <c r="F75" s="84"/>
      <c r="G75" s="84"/>
      <c r="H75" s="84"/>
      <c r="I75" s="84"/>
      <c r="J75" s="84"/>
      <c r="K75" s="84"/>
      <c r="L75" s="84"/>
      <c r="M75" s="84"/>
      <c r="N75" s="84"/>
      <c r="O75" s="86"/>
    </row>
    <row r="76" spans="1:15" x14ac:dyDescent="0.25">
      <c r="A76" s="80"/>
      <c r="B76" s="81"/>
      <c r="C76" s="60"/>
      <c r="D76" s="83">
        <f t="shared" si="4"/>
        <v>0</v>
      </c>
      <c r="E76" s="84"/>
      <c r="F76" s="84"/>
      <c r="G76" s="84"/>
      <c r="H76" s="84"/>
      <c r="I76" s="84"/>
      <c r="J76" s="84"/>
      <c r="K76" s="84"/>
      <c r="L76" s="84"/>
      <c r="M76" s="84"/>
      <c r="N76" s="84"/>
      <c r="O76" s="86"/>
    </row>
    <row r="77" spans="1:15" x14ac:dyDescent="0.25">
      <c r="A77" s="80"/>
      <c r="B77" s="81"/>
      <c r="C77" s="60"/>
      <c r="D77" s="83">
        <f t="shared" si="4"/>
        <v>0</v>
      </c>
      <c r="E77" s="84"/>
      <c r="F77" s="84"/>
      <c r="G77" s="84"/>
      <c r="H77" s="84"/>
      <c r="I77" s="84"/>
      <c r="J77" s="84"/>
      <c r="K77" s="84"/>
      <c r="L77" s="84"/>
      <c r="M77" s="84"/>
      <c r="N77" s="84"/>
      <c r="O77" s="86"/>
    </row>
    <row r="78" spans="1:15" x14ac:dyDescent="0.25">
      <c r="A78" s="80"/>
      <c r="B78" s="81"/>
      <c r="C78" s="60"/>
      <c r="D78" s="83">
        <f t="shared" si="4"/>
        <v>0</v>
      </c>
      <c r="E78" s="84"/>
      <c r="F78" s="84"/>
      <c r="G78" s="84"/>
      <c r="H78" s="84"/>
      <c r="I78" s="84"/>
      <c r="J78" s="84"/>
      <c r="K78" s="84"/>
      <c r="L78" s="84"/>
      <c r="M78" s="84"/>
      <c r="N78" s="84"/>
      <c r="O78" s="86"/>
    </row>
    <row r="79" spans="1:15" x14ac:dyDescent="0.25">
      <c r="A79" s="80"/>
      <c r="B79" s="81"/>
      <c r="C79" s="60"/>
      <c r="D79" s="83">
        <f t="shared" si="4"/>
        <v>0</v>
      </c>
      <c r="E79" s="84"/>
      <c r="F79" s="84"/>
      <c r="G79" s="84"/>
      <c r="H79" s="84"/>
      <c r="I79" s="84"/>
      <c r="J79" s="84"/>
      <c r="K79" s="84"/>
      <c r="L79" s="84"/>
      <c r="M79" s="84"/>
      <c r="N79" s="84"/>
      <c r="O79" s="86"/>
    </row>
    <row r="80" spans="1:15" x14ac:dyDescent="0.25">
      <c r="A80" s="80"/>
      <c r="B80" s="81"/>
      <c r="C80" s="60"/>
      <c r="D80" s="83">
        <f t="shared" si="4"/>
        <v>0</v>
      </c>
      <c r="E80" s="84"/>
      <c r="F80" s="84"/>
      <c r="G80" s="84"/>
      <c r="H80" s="84"/>
      <c r="I80" s="84"/>
      <c r="J80" s="84"/>
      <c r="K80" s="84"/>
      <c r="L80" s="84"/>
      <c r="M80" s="84"/>
      <c r="N80" s="84"/>
      <c r="O80" s="86"/>
    </row>
    <row r="81" spans="1:15" x14ac:dyDescent="0.25">
      <c r="A81" s="80"/>
      <c r="B81" s="81"/>
      <c r="C81" s="60"/>
      <c r="D81" s="83">
        <f t="shared" si="4"/>
        <v>0</v>
      </c>
      <c r="E81" s="84"/>
      <c r="F81" s="84"/>
      <c r="G81" s="84"/>
      <c r="H81" s="84"/>
      <c r="I81" s="84"/>
      <c r="J81" s="84"/>
      <c r="K81" s="84"/>
      <c r="L81" s="84"/>
      <c r="M81" s="84"/>
      <c r="N81" s="84"/>
      <c r="O81" s="86"/>
    </row>
    <row r="82" spans="1:15" x14ac:dyDescent="0.25">
      <c r="A82" s="80"/>
      <c r="B82" s="81"/>
      <c r="C82" s="60"/>
      <c r="D82" s="83">
        <f t="shared" si="4"/>
        <v>0</v>
      </c>
      <c r="E82" s="84"/>
      <c r="F82" s="84"/>
      <c r="G82" s="84"/>
      <c r="H82" s="84"/>
      <c r="I82" s="84"/>
      <c r="J82" s="84"/>
      <c r="K82" s="84"/>
      <c r="L82" s="84"/>
      <c r="M82" s="84"/>
      <c r="N82" s="84"/>
      <c r="O82" s="86"/>
    </row>
    <row r="83" spans="1:15" x14ac:dyDescent="0.25">
      <c r="A83" s="80"/>
      <c r="B83" s="81"/>
      <c r="C83" s="60"/>
      <c r="D83" s="83">
        <f t="shared" si="4"/>
        <v>0</v>
      </c>
      <c r="E83" s="84"/>
      <c r="F83" s="84"/>
      <c r="G83" s="84"/>
      <c r="H83" s="84"/>
      <c r="I83" s="84"/>
      <c r="J83" s="84"/>
      <c r="K83" s="84"/>
      <c r="L83" s="84"/>
      <c r="M83" s="84"/>
      <c r="N83" s="84"/>
      <c r="O83" s="86"/>
    </row>
    <row r="84" spans="1:15" x14ac:dyDescent="0.25">
      <c r="A84" s="80"/>
      <c r="B84" s="81"/>
      <c r="C84" s="60"/>
      <c r="D84" s="83">
        <f t="shared" si="4"/>
        <v>0</v>
      </c>
      <c r="E84" s="84"/>
      <c r="F84" s="84"/>
      <c r="G84" s="84"/>
      <c r="H84" s="84"/>
      <c r="I84" s="84"/>
      <c r="J84" s="84"/>
      <c r="K84" s="84"/>
      <c r="L84" s="84"/>
      <c r="M84" s="84"/>
      <c r="N84" s="84"/>
      <c r="O84" s="86"/>
    </row>
    <row r="85" spans="1:15" x14ac:dyDescent="0.25">
      <c r="A85" s="80"/>
      <c r="B85" s="81"/>
      <c r="C85" s="60"/>
      <c r="D85" s="83">
        <f t="shared" si="4"/>
        <v>0</v>
      </c>
      <c r="E85" s="84"/>
      <c r="F85" s="84"/>
      <c r="G85" s="84"/>
      <c r="H85" s="84"/>
      <c r="I85" s="84"/>
      <c r="J85" s="84"/>
      <c r="K85" s="84"/>
      <c r="L85" s="84"/>
      <c r="M85" s="84"/>
      <c r="N85" s="84"/>
      <c r="O85" s="86"/>
    </row>
    <row r="86" spans="1:15" x14ac:dyDescent="0.25">
      <c r="A86" s="135"/>
      <c r="B86" s="81"/>
      <c r="C86" s="60"/>
      <c r="D86" s="83">
        <f t="shared" si="4"/>
        <v>0</v>
      </c>
      <c r="E86" s="84"/>
      <c r="F86" s="84"/>
      <c r="G86" s="84"/>
      <c r="H86" s="84"/>
      <c r="I86" s="84"/>
      <c r="J86" s="84"/>
      <c r="K86" s="84"/>
      <c r="L86" s="84"/>
      <c r="M86" s="84"/>
      <c r="N86" s="84"/>
      <c r="O86" s="86"/>
    </row>
    <row r="87" spans="1:15" ht="13.8" thickBot="1" x14ac:dyDescent="0.3">
      <c r="A87" s="80"/>
      <c r="B87" s="81"/>
      <c r="C87" s="60"/>
      <c r="D87" s="83"/>
      <c r="E87" s="84" t="s">
        <v>11</v>
      </c>
      <c r="F87" s="84"/>
      <c r="G87" s="84"/>
      <c r="H87" s="84"/>
      <c r="I87" s="84"/>
      <c r="J87" s="84"/>
      <c r="K87" s="84"/>
      <c r="L87" s="84"/>
      <c r="M87" s="84"/>
      <c r="N87" s="84"/>
      <c r="O87" s="86"/>
    </row>
    <row r="88" spans="1:15" ht="16.2" thickBot="1" x14ac:dyDescent="0.3">
      <c r="A88" s="87"/>
      <c r="B88" s="88"/>
      <c r="C88" s="89" t="s">
        <v>17</v>
      </c>
      <c r="D88" s="90">
        <f t="shared" ref="D88:J88" si="5">SUM(D73:D87)</f>
        <v>0</v>
      </c>
      <c r="E88" s="91">
        <f t="shared" si="5"/>
        <v>0</v>
      </c>
      <c r="F88" s="91">
        <f t="shared" si="5"/>
        <v>0</v>
      </c>
      <c r="G88" s="91">
        <f t="shared" si="5"/>
        <v>0</v>
      </c>
      <c r="H88" s="91">
        <f t="shared" si="5"/>
        <v>0</v>
      </c>
      <c r="I88" s="91">
        <f t="shared" si="5"/>
        <v>0</v>
      </c>
      <c r="J88" s="91">
        <f t="shared" si="5"/>
        <v>0</v>
      </c>
      <c r="K88" s="91">
        <f>SUM(K73:K87)</f>
        <v>0</v>
      </c>
      <c r="L88" s="91">
        <f>SUM(L73:L87)</f>
        <v>0</v>
      </c>
      <c r="M88" s="91">
        <f>SUM(M73:M87)</f>
        <v>0</v>
      </c>
      <c r="N88" s="91">
        <f>SUM(N73:N87)</f>
        <v>0</v>
      </c>
      <c r="O88" s="92">
        <f>SUM(O73:O87)</f>
        <v>0</v>
      </c>
    </row>
    <row r="89" spans="1:15" ht="15.6" x14ac:dyDescent="0.25">
      <c r="A89" s="87"/>
      <c r="B89" s="93"/>
      <c r="C89" s="93"/>
      <c r="D89" s="93"/>
      <c r="E89" s="93"/>
      <c r="F89" s="93"/>
      <c r="G89" s="93"/>
      <c r="H89" s="93"/>
      <c r="I89" s="93"/>
      <c r="J89" s="93"/>
      <c r="K89" s="93"/>
      <c r="L89" s="93"/>
      <c r="M89" s="93"/>
      <c r="N89" s="93"/>
      <c r="O89" s="136" t="s">
        <v>41</v>
      </c>
    </row>
    <row r="90" spans="1:15" ht="16.2" thickBot="1" x14ac:dyDescent="0.3">
      <c r="A90" s="97"/>
      <c r="B90" s="72"/>
      <c r="C90" s="72" t="s">
        <v>71</v>
      </c>
      <c r="D90" s="98">
        <f>SUM(E88:O88)-D88</f>
        <v>0</v>
      </c>
      <c r="E90" s="253" t="str">
        <f>IF(D90=0,"","ERROR - figures do not add across")</f>
        <v/>
      </c>
      <c r="F90" s="72"/>
      <c r="G90" s="72"/>
      <c r="H90" s="72"/>
      <c r="I90" s="72"/>
      <c r="J90" s="72"/>
      <c r="K90" s="72"/>
      <c r="L90" s="72"/>
      <c r="M90" s="72"/>
      <c r="N90" s="72"/>
      <c r="O90" s="137"/>
    </row>
  </sheetData>
  <customSheetViews>
    <customSheetView guid="{93A5533C-1BF0-4CFD-B527-DBAD1AD08F71}" fitToPage="1" showRuler="0">
      <selection activeCell="B13" sqref="B13"/>
      <pageMargins left="0.59055118110236227" right="0.15748031496062992" top="0.59055118110236227" bottom="0.59055118110236227" header="0.31496062992125984" footer="0.31496062992125984"/>
      <printOptions horizontalCentered="1"/>
      <pageSetup paperSize="9" scale="58" orientation="portrait" r:id="rId1"/>
      <headerFooter alignWithMargins="0">
        <oddHeader>&amp;C&amp;A</oddHeader>
        <oddFooter>&amp;L&amp;F&amp;CPage &amp;P&amp;R&amp;D</oddFooter>
      </headerFooter>
    </customSheetView>
  </customSheetViews>
  <phoneticPr fontId="0" type="noConversion"/>
  <printOptions horizontalCentered="1"/>
  <pageMargins left="0.59055118110236227" right="0.39370078740157483" top="0.59055118110236227" bottom="0.59055118110236227" header="0.31496062992125984" footer="0.31496062992125984"/>
  <pageSetup paperSize="9" scale="59" orientation="portrait" r:id="rId2"/>
  <headerFooter alignWithMargins="0">
    <oddHeader>&amp;C&amp;A</oddHeader>
    <oddFooter>&amp;L&amp;Z&amp;F\&amp;A&amp;CPage &amp;P&amp;R&amp;D  &amp;T</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O90"/>
  <sheetViews>
    <sheetView zoomScale="85" workbookViewId="0">
      <selection activeCell="A7" sqref="A7"/>
    </sheetView>
  </sheetViews>
  <sheetFormatPr defaultColWidth="9.109375" defaultRowHeight="13.2" x14ac:dyDescent="0.25"/>
  <cols>
    <col min="1" max="1" width="10" style="66" customWidth="1"/>
    <col min="2" max="2" width="4.5546875" style="66" customWidth="1"/>
    <col min="3" max="3" width="25.6640625" style="66" customWidth="1"/>
    <col min="4" max="4" width="10.109375" style="66" customWidth="1"/>
    <col min="5" max="5" width="10" style="66" bestFit="1" customWidth="1"/>
    <col min="6" max="6" width="12.5546875" style="66" bestFit="1" customWidth="1"/>
    <col min="7" max="7" width="9.88671875" style="66" bestFit="1" customWidth="1"/>
    <col min="8" max="8" width="11.44140625" style="66" bestFit="1" customWidth="1"/>
    <col min="9" max="9" width="10.88671875" style="66" bestFit="1" customWidth="1"/>
    <col min="10" max="10" width="10.6640625" style="66" bestFit="1" customWidth="1"/>
    <col min="11" max="11" width="9.109375" style="66"/>
    <col min="12" max="12" width="7.109375" style="66" customWidth="1"/>
    <col min="13" max="13" width="8.88671875" style="66" customWidth="1"/>
    <col min="14" max="14" width="9.88671875" style="66" bestFit="1" customWidth="1"/>
    <col min="15" max="15" width="9.5546875" style="66" bestFit="1" customWidth="1"/>
    <col min="16" max="16384" width="9.109375" style="66"/>
  </cols>
  <sheetData>
    <row r="1" spans="1:15" ht="16.2" thickBot="1" x14ac:dyDescent="0.3">
      <c r="A1" s="63" t="str">
        <f>'Company Info'!B5</f>
        <v>ABC Limited</v>
      </c>
      <c r="B1" s="64"/>
      <c r="C1" s="64"/>
      <c r="D1" s="65"/>
    </row>
    <row r="2" spans="1:15" ht="13.8" thickBot="1" x14ac:dyDescent="0.3"/>
    <row r="3" spans="1:15" ht="18" thickBot="1" x14ac:dyDescent="0.3">
      <c r="A3" s="67" t="s">
        <v>9</v>
      </c>
      <c r="B3" s="61"/>
      <c r="C3" s="61"/>
      <c r="D3" s="68"/>
      <c r="E3" s="68"/>
      <c r="F3" s="68"/>
      <c r="G3" s="68"/>
      <c r="H3" s="68"/>
      <c r="I3" s="68"/>
      <c r="J3" s="68"/>
      <c r="K3" s="68"/>
      <c r="L3" s="68"/>
      <c r="M3" s="68"/>
      <c r="N3" s="239" t="s">
        <v>10</v>
      </c>
      <c r="O3" s="70">
        <f>'Month 9'!O3-31</f>
        <v>40875</v>
      </c>
    </row>
    <row r="4" spans="1:15" ht="13.8" thickBot="1" x14ac:dyDescent="0.3">
      <c r="A4" s="71"/>
      <c r="B4" s="68"/>
      <c r="C4" s="68"/>
      <c r="D4" s="72"/>
      <c r="E4" s="72"/>
      <c r="F4" s="72"/>
      <c r="G4" s="72"/>
      <c r="H4" s="72"/>
      <c r="N4" s="68"/>
      <c r="O4" s="73"/>
    </row>
    <row r="5" spans="1:15" s="79" customFormat="1" ht="26.25" customHeight="1" thickBot="1" x14ac:dyDescent="0.3">
      <c r="A5" s="74" t="s">
        <v>12</v>
      </c>
      <c r="B5" s="75" t="s">
        <v>130</v>
      </c>
      <c r="C5" s="76" t="s">
        <v>123</v>
      </c>
      <c r="D5" s="75" t="s">
        <v>13</v>
      </c>
      <c r="E5" s="77" t="str">
        <f>'Month 7'!E5</f>
        <v>Net Sales</v>
      </c>
      <c r="F5" s="77" t="str">
        <f>'Month 7'!F5</f>
        <v>Expenses Reimbursed</v>
      </c>
      <c r="G5" s="77" t="str">
        <f>'Month 7'!G5</f>
        <v>VAT</v>
      </c>
      <c r="H5" s="77" t="str">
        <f>'Month 7'!H5</f>
        <v>Interest Received</v>
      </c>
      <c r="I5" s="77" t="str">
        <f>'Month 7'!I5</f>
        <v>Tax Refunds</v>
      </c>
      <c r="J5" s="77" t="str">
        <f>'Month 7'!J5</f>
        <v>Company Dep A/C</v>
      </c>
      <c r="K5" s="77">
        <f>'Month 7'!K5</f>
        <v>0</v>
      </c>
      <c r="L5" s="77">
        <f>'Month 7'!L5</f>
        <v>0</v>
      </c>
      <c r="M5" s="77">
        <f>'Month 7'!M5</f>
        <v>0</v>
      </c>
      <c r="N5" s="77">
        <f>'Month 7'!N5</f>
        <v>0</v>
      </c>
      <c r="O5" s="78" t="str">
        <f>'Month 7'!O5</f>
        <v>Sundries</v>
      </c>
    </row>
    <row r="6" spans="1:15" x14ac:dyDescent="0.25">
      <c r="A6" s="80"/>
      <c r="B6" s="81"/>
      <c r="C6" s="60"/>
      <c r="D6" s="83">
        <f t="shared" ref="D6:D17" si="0">SUM(E6:O6)</f>
        <v>0</v>
      </c>
      <c r="E6" s="84"/>
      <c r="F6" s="84"/>
      <c r="G6" s="84"/>
      <c r="H6" s="84"/>
      <c r="I6" s="84"/>
      <c r="J6" s="84"/>
      <c r="K6" s="84"/>
      <c r="L6" s="84"/>
      <c r="M6" s="84"/>
      <c r="N6" s="84"/>
      <c r="O6" s="86"/>
    </row>
    <row r="7" spans="1:15" x14ac:dyDescent="0.25">
      <c r="A7" s="80"/>
      <c r="B7" s="81"/>
      <c r="C7" s="60"/>
      <c r="D7" s="83">
        <f t="shared" si="0"/>
        <v>0</v>
      </c>
      <c r="E7" s="84"/>
      <c r="F7" s="84"/>
      <c r="G7" s="84"/>
      <c r="H7" s="84"/>
      <c r="I7" s="84"/>
      <c r="J7" s="84"/>
      <c r="K7" s="84"/>
      <c r="L7" s="84"/>
      <c r="M7" s="84"/>
      <c r="N7" s="84"/>
      <c r="O7" s="86"/>
    </row>
    <row r="8" spans="1:15" x14ac:dyDescent="0.25">
      <c r="A8" s="80"/>
      <c r="B8" s="81"/>
      <c r="C8" s="60"/>
      <c r="D8" s="83">
        <f t="shared" si="0"/>
        <v>0</v>
      </c>
      <c r="E8" s="84"/>
      <c r="F8" s="84"/>
      <c r="G8" s="84"/>
      <c r="H8" s="84"/>
      <c r="I8" s="84"/>
      <c r="J8" s="84"/>
      <c r="K8" s="84"/>
      <c r="L8" s="84"/>
      <c r="M8" s="84"/>
      <c r="N8" s="84"/>
      <c r="O8" s="86"/>
    </row>
    <row r="9" spans="1:15" x14ac:dyDescent="0.25">
      <c r="A9" s="80"/>
      <c r="B9" s="81"/>
      <c r="C9" s="60"/>
      <c r="D9" s="83">
        <f t="shared" si="0"/>
        <v>0</v>
      </c>
      <c r="E9" s="84"/>
      <c r="F9" s="84"/>
      <c r="G9" s="84"/>
      <c r="H9" s="84"/>
      <c r="I9" s="84"/>
      <c r="J9" s="84"/>
      <c r="K9" s="84"/>
      <c r="L9" s="84"/>
      <c r="M9" s="84"/>
      <c r="N9" s="84"/>
      <c r="O9" s="86"/>
    </row>
    <row r="10" spans="1:15" x14ac:dyDescent="0.25">
      <c r="A10" s="80"/>
      <c r="B10" s="81"/>
      <c r="C10" s="60"/>
      <c r="D10" s="83">
        <f t="shared" si="0"/>
        <v>0</v>
      </c>
      <c r="E10" s="84"/>
      <c r="F10" s="84"/>
      <c r="G10" s="84"/>
      <c r="H10" s="84"/>
      <c r="I10" s="84"/>
      <c r="J10" s="84"/>
      <c r="K10" s="84"/>
      <c r="L10" s="84"/>
      <c r="M10" s="84"/>
      <c r="N10" s="84"/>
      <c r="O10" s="86"/>
    </row>
    <row r="11" spans="1:15" x14ac:dyDescent="0.25">
      <c r="A11" s="80"/>
      <c r="B11" s="81"/>
      <c r="C11" s="60"/>
      <c r="D11" s="83">
        <f t="shared" si="0"/>
        <v>0</v>
      </c>
      <c r="E11" s="84"/>
      <c r="F11" s="84"/>
      <c r="G11" s="84"/>
      <c r="H11" s="84"/>
      <c r="I11" s="84"/>
      <c r="J11" s="84"/>
      <c r="K11" s="84"/>
      <c r="L11" s="84"/>
      <c r="M11" s="84"/>
      <c r="N11" s="84"/>
      <c r="O11" s="86"/>
    </row>
    <row r="12" spans="1:15" x14ac:dyDescent="0.25">
      <c r="A12" s="80"/>
      <c r="B12" s="81"/>
      <c r="C12" s="60"/>
      <c r="D12" s="83">
        <f t="shared" si="0"/>
        <v>0</v>
      </c>
      <c r="E12" s="84"/>
      <c r="F12" s="84"/>
      <c r="G12" s="84"/>
      <c r="H12" s="84"/>
      <c r="I12" s="84"/>
      <c r="J12" s="84"/>
      <c r="K12" s="84"/>
      <c r="L12" s="84"/>
      <c r="M12" s="84"/>
      <c r="N12" s="84"/>
      <c r="O12" s="86"/>
    </row>
    <row r="13" spans="1:15" x14ac:dyDescent="0.25">
      <c r="A13" s="80"/>
      <c r="B13" s="81"/>
      <c r="C13" s="60"/>
      <c r="D13" s="83">
        <f t="shared" si="0"/>
        <v>0</v>
      </c>
      <c r="E13" s="84"/>
      <c r="F13" s="84"/>
      <c r="G13" s="84"/>
      <c r="H13" s="84"/>
      <c r="I13" s="84"/>
      <c r="J13" s="84"/>
      <c r="K13" s="84"/>
      <c r="L13" s="84"/>
      <c r="M13" s="84"/>
      <c r="N13" s="84"/>
      <c r="O13" s="86"/>
    </row>
    <row r="14" spans="1:15" x14ac:dyDescent="0.25">
      <c r="A14" s="80"/>
      <c r="B14" s="81"/>
      <c r="C14" s="60"/>
      <c r="D14" s="83">
        <f t="shared" si="0"/>
        <v>0</v>
      </c>
      <c r="E14" s="84"/>
      <c r="F14" s="84"/>
      <c r="G14" s="84"/>
      <c r="H14" s="84"/>
      <c r="I14" s="84"/>
      <c r="J14" s="84"/>
      <c r="K14" s="84"/>
      <c r="L14" s="84"/>
      <c r="M14" s="84"/>
      <c r="N14" s="84"/>
      <c r="O14" s="86"/>
    </row>
    <row r="15" spans="1:15" x14ac:dyDescent="0.25">
      <c r="A15" s="80"/>
      <c r="B15" s="81"/>
      <c r="C15" s="60"/>
      <c r="D15" s="83">
        <f t="shared" si="0"/>
        <v>0</v>
      </c>
      <c r="E15" s="84"/>
      <c r="F15" s="84"/>
      <c r="G15" s="84"/>
      <c r="H15" s="84"/>
      <c r="I15" s="84"/>
      <c r="J15" s="84"/>
      <c r="K15" s="84"/>
      <c r="L15" s="84"/>
      <c r="M15" s="84"/>
      <c r="N15" s="84"/>
      <c r="O15" s="86"/>
    </row>
    <row r="16" spans="1:15" x14ac:dyDescent="0.25">
      <c r="A16" s="80"/>
      <c r="B16" s="81"/>
      <c r="C16" s="60"/>
      <c r="D16" s="83">
        <f t="shared" si="0"/>
        <v>0</v>
      </c>
      <c r="E16" s="84"/>
      <c r="F16" s="84"/>
      <c r="G16" s="84"/>
      <c r="H16" s="84"/>
      <c r="I16" s="84"/>
      <c r="J16" s="84"/>
      <c r="K16" s="84"/>
      <c r="L16" s="84"/>
      <c r="M16" s="84"/>
      <c r="N16" s="84"/>
      <c r="O16" s="86"/>
    </row>
    <row r="17" spans="1:15" x14ac:dyDescent="0.25">
      <c r="A17" s="80"/>
      <c r="B17" s="81"/>
      <c r="C17" s="60"/>
      <c r="D17" s="83">
        <f t="shared" si="0"/>
        <v>0</v>
      </c>
      <c r="E17" s="84"/>
      <c r="F17" s="84"/>
      <c r="G17" s="84"/>
      <c r="H17" s="84"/>
      <c r="I17" s="84"/>
      <c r="J17" s="84"/>
      <c r="K17" s="84"/>
      <c r="L17" s="84"/>
      <c r="M17" s="84"/>
      <c r="N17" s="84"/>
      <c r="O17" s="86"/>
    </row>
    <row r="18" spans="1:15" ht="13.8" thickBot="1" x14ac:dyDescent="0.3">
      <c r="A18" s="80"/>
      <c r="B18" s="81"/>
      <c r="C18" s="60"/>
      <c r="D18" s="83"/>
      <c r="E18" s="84"/>
      <c r="F18" s="84"/>
      <c r="G18" s="84"/>
      <c r="H18" s="84"/>
      <c r="I18" s="19"/>
      <c r="J18" s="19"/>
      <c r="K18" s="19"/>
      <c r="L18" s="19"/>
      <c r="M18" s="19"/>
      <c r="N18" s="85"/>
      <c r="O18" s="86"/>
    </row>
    <row r="19" spans="1:15" ht="16.2" thickBot="1" x14ac:dyDescent="0.3">
      <c r="A19" s="87"/>
      <c r="B19" s="88"/>
      <c r="C19" s="89" t="s">
        <v>17</v>
      </c>
      <c r="D19" s="90">
        <f t="shared" ref="D19:O19" si="1">SUM(D6:D18)</f>
        <v>0</v>
      </c>
      <c r="E19" s="91">
        <f t="shared" si="1"/>
        <v>0</v>
      </c>
      <c r="F19" s="91">
        <f t="shared" si="1"/>
        <v>0</v>
      </c>
      <c r="G19" s="91">
        <f t="shared" si="1"/>
        <v>0</v>
      </c>
      <c r="H19" s="91">
        <f t="shared" si="1"/>
        <v>0</v>
      </c>
      <c r="I19" s="91">
        <f t="shared" si="1"/>
        <v>0</v>
      </c>
      <c r="J19" s="91">
        <f t="shared" si="1"/>
        <v>0</v>
      </c>
      <c r="K19" s="91">
        <f t="shared" si="1"/>
        <v>0</v>
      </c>
      <c r="L19" s="91">
        <f t="shared" si="1"/>
        <v>0</v>
      </c>
      <c r="M19" s="91">
        <f t="shared" si="1"/>
        <v>0</v>
      </c>
      <c r="N19" s="91">
        <f t="shared" si="1"/>
        <v>0</v>
      </c>
      <c r="O19" s="92">
        <f t="shared" si="1"/>
        <v>0</v>
      </c>
    </row>
    <row r="20" spans="1:15" ht="12.75" customHeight="1" x14ac:dyDescent="0.25">
      <c r="A20" s="87"/>
      <c r="B20" s="93"/>
      <c r="C20" s="93"/>
      <c r="D20" s="236" t="s">
        <v>18</v>
      </c>
      <c r="E20" s="236" t="s">
        <v>19</v>
      </c>
      <c r="F20" s="236" t="s">
        <v>19</v>
      </c>
      <c r="G20" s="237" t="s">
        <v>20</v>
      </c>
      <c r="H20" s="93"/>
      <c r="N20" s="93"/>
      <c r="O20" s="103"/>
    </row>
    <row r="21" spans="1:15" ht="13.8" thickBot="1" x14ac:dyDescent="0.3">
      <c r="A21" s="97"/>
      <c r="B21" s="72"/>
      <c r="C21" s="72" t="s">
        <v>71</v>
      </c>
      <c r="D21" s="98">
        <f>SUM(E19:O19)-D19</f>
        <v>0</v>
      </c>
      <c r="E21" s="253" t="str">
        <f>IF(D21=0,"","ERROR - figures do not add across")</f>
        <v/>
      </c>
      <c r="F21" s="72"/>
      <c r="G21" s="72"/>
      <c r="H21" s="72"/>
      <c r="I21" s="72"/>
      <c r="J21" s="72"/>
      <c r="K21" s="72"/>
      <c r="L21" s="72"/>
      <c r="M21" s="72"/>
      <c r="N21" s="72"/>
      <c r="O21" s="99"/>
    </row>
    <row r="23" spans="1:15" ht="13.8" thickBot="1" x14ac:dyDescent="0.3"/>
    <row r="24" spans="1:15" ht="18" thickBot="1" x14ac:dyDescent="0.3">
      <c r="A24" s="100" t="s">
        <v>21</v>
      </c>
      <c r="B24" s="101"/>
      <c r="C24" s="61"/>
      <c r="D24" s="68"/>
      <c r="E24" s="68"/>
      <c r="F24" s="68"/>
      <c r="G24" s="68"/>
      <c r="H24" s="68"/>
      <c r="I24" s="68"/>
      <c r="J24" s="68"/>
      <c r="K24" s="68"/>
      <c r="L24" s="68"/>
      <c r="M24" s="68"/>
      <c r="N24" s="239" t="s">
        <v>10</v>
      </c>
      <c r="O24" s="70">
        <f>O3</f>
        <v>40875</v>
      </c>
    </row>
    <row r="25" spans="1:15" ht="13.8" thickBot="1" x14ac:dyDescent="0.3">
      <c r="A25" s="102"/>
      <c r="B25" s="93"/>
      <c r="C25" s="93"/>
      <c r="D25" s="93"/>
      <c r="E25" s="93"/>
      <c r="F25" s="93"/>
      <c r="G25" s="93"/>
      <c r="H25" s="93"/>
      <c r="I25" s="93"/>
      <c r="J25" s="93"/>
      <c r="K25" s="93"/>
      <c r="L25" s="93"/>
      <c r="M25" s="93"/>
      <c r="N25" s="93"/>
      <c r="O25" s="103"/>
    </row>
    <row r="26" spans="1:15" s="79" customFormat="1" ht="27" customHeight="1" thickBot="1" x14ac:dyDescent="0.3">
      <c r="A26" s="104" t="s">
        <v>12</v>
      </c>
      <c r="B26" s="75" t="s">
        <v>68</v>
      </c>
      <c r="C26" s="105" t="s">
        <v>123</v>
      </c>
      <c r="D26" s="106" t="s">
        <v>63</v>
      </c>
      <c r="E26" s="107" t="str">
        <f>'Month 7'!E26</f>
        <v>PAYE/NI</v>
      </c>
      <c r="F26" s="107" t="str">
        <f>'Month 7'!F26</f>
        <v>Net Wages</v>
      </c>
      <c r="G26" s="107" t="str">
        <f>'Month 7'!G26</f>
        <v>Dividends</v>
      </c>
      <c r="H26" s="107" t="str">
        <f>'Month 7'!H26</f>
        <v>Company Dep A/C</v>
      </c>
      <c r="I26" s="107" t="str">
        <f>'Month 7'!I26</f>
        <v>Company Pension</v>
      </c>
      <c r="J26" s="107" t="str">
        <f>'Month 7'!J26</f>
        <v>Motor &amp; Travel</v>
      </c>
      <c r="K26" s="107" t="str">
        <f>'Month 7'!K26</f>
        <v>Standing Orders</v>
      </c>
      <c r="L26" s="107" t="str">
        <f>'Month 7'!L26</f>
        <v>Petty Cash</v>
      </c>
      <c r="M26" s="107" t="s">
        <v>143</v>
      </c>
      <c r="N26" s="107" t="str">
        <f>'Month 7'!N26</f>
        <v>Sundries</v>
      </c>
      <c r="O26" s="78" t="s">
        <v>142</v>
      </c>
    </row>
    <row r="27" spans="1:15" x14ac:dyDescent="0.25">
      <c r="A27" s="80"/>
      <c r="B27" s="81"/>
      <c r="C27" s="60"/>
      <c r="D27" s="83">
        <f t="shared" ref="D27:D40" si="2">SUM(E27:O27)</f>
        <v>0</v>
      </c>
      <c r="E27" s="84"/>
      <c r="F27" s="84"/>
      <c r="G27" s="84"/>
      <c r="H27" s="84"/>
      <c r="I27" s="84"/>
      <c r="J27" s="84"/>
      <c r="K27" s="84"/>
      <c r="L27" s="84"/>
      <c r="M27" s="84"/>
      <c r="N27" s="84"/>
      <c r="O27" s="86"/>
    </row>
    <row r="28" spans="1:15" x14ac:dyDescent="0.25">
      <c r="A28" s="80"/>
      <c r="B28" s="81"/>
      <c r="C28" s="60"/>
      <c r="D28" s="83">
        <f t="shared" si="2"/>
        <v>0</v>
      </c>
      <c r="E28" s="84"/>
      <c r="F28" s="84"/>
      <c r="G28" s="84"/>
      <c r="H28" s="84"/>
      <c r="I28" s="84"/>
      <c r="J28" s="84"/>
      <c r="K28" s="84"/>
      <c r="L28" s="84"/>
      <c r="M28" s="84"/>
      <c r="N28" s="84"/>
      <c r="O28" s="86"/>
    </row>
    <row r="29" spans="1:15" x14ac:dyDescent="0.25">
      <c r="A29" s="80"/>
      <c r="B29" s="81"/>
      <c r="C29" s="60"/>
      <c r="D29" s="83">
        <f t="shared" si="2"/>
        <v>0</v>
      </c>
      <c r="E29" s="84"/>
      <c r="F29" s="84"/>
      <c r="G29" s="84"/>
      <c r="H29" s="84"/>
      <c r="I29" s="84"/>
      <c r="J29" s="84"/>
      <c r="K29" s="84"/>
      <c r="L29" s="84"/>
      <c r="M29" s="84"/>
      <c r="N29" s="84"/>
      <c r="O29" s="86"/>
    </row>
    <row r="30" spans="1:15" x14ac:dyDescent="0.25">
      <c r="A30" s="80"/>
      <c r="B30" s="81"/>
      <c r="C30" s="60"/>
      <c r="D30" s="83">
        <f t="shared" si="2"/>
        <v>0</v>
      </c>
      <c r="E30" s="84"/>
      <c r="F30" s="84"/>
      <c r="G30" s="84"/>
      <c r="H30" s="84"/>
      <c r="I30" s="84"/>
      <c r="J30" s="84"/>
      <c r="K30" s="84"/>
      <c r="L30" s="84"/>
      <c r="M30" s="84"/>
      <c r="N30" s="84"/>
      <c r="O30" s="86"/>
    </row>
    <row r="31" spans="1:15" x14ac:dyDescent="0.25">
      <c r="A31" s="80"/>
      <c r="B31" s="81"/>
      <c r="C31" s="60"/>
      <c r="D31" s="83">
        <f t="shared" si="2"/>
        <v>0</v>
      </c>
      <c r="E31" s="84"/>
      <c r="F31" s="84"/>
      <c r="G31" s="84"/>
      <c r="H31" s="84"/>
      <c r="I31" s="84"/>
      <c r="J31" s="84"/>
      <c r="K31" s="84"/>
      <c r="L31" s="84"/>
      <c r="M31" s="84"/>
      <c r="N31" s="84"/>
      <c r="O31" s="86"/>
    </row>
    <row r="32" spans="1:15" x14ac:dyDescent="0.25">
      <c r="A32" s="80"/>
      <c r="B32" s="81"/>
      <c r="C32" s="60"/>
      <c r="D32" s="83">
        <f t="shared" si="2"/>
        <v>0</v>
      </c>
      <c r="E32" s="84"/>
      <c r="F32" s="84"/>
      <c r="G32" s="84"/>
      <c r="H32" s="84"/>
      <c r="I32" s="84"/>
      <c r="J32" s="84"/>
      <c r="K32" s="84"/>
      <c r="L32" s="84"/>
      <c r="M32" s="84"/>
      <c r="N32" s="84"/>
      <c r="O32" s="86"/>
    </row>
    <row r="33" spans="1:15" x14ac:dyDescent="0.25">
      <c r="A33" s="80"/>
      <c r="B33" s="81"/>
      <c r="C33" s="60"/>
      <c r="D33" s="83">
        <f t="shared" si="2"/>
        <v>0</v>
      </c>
      <c r="E33" s="84"/>
      <c r="F33" s="84"/>
      <c r="G33" s="84"/>
      <c r="H33" s="84"/>
      <c r="I33" s="84"/>
      <c r="J33" s="84"/>
      <c r="K33" s="84"/>
      <c r="L33" s="84"/>
      <c r="M33" s="84"/>
      <c r="N33" s="84"/>
      <c r="O33" s="86"/>
    </row>
    <row r="34" spans="1:15" x14ac:dyDescent="0.25">
      <c r="A34" s="80"/>
      <c r="B34" s="81"/>
      <c r="C34" s="60"/>
      <c r="D34" s="83">
        <f t="shared" si="2"/>
        <v>0</v>
      </c>
      <c r="E34" s="84"/>
      <c r="F34" s="84"/>
      <c r="G34" s="84"/>
      <c r="H34" s="84"/>
      <c r="I34" s="84"/>
      <c r="J34" s="84"/>
      <c r="K34" s="84"/>
      <c r="L34" s="84"/>
      <c r="M34" s="84"/>
      <c r="N34" s="84"/>
      <c r="O34" s="86"/>
    </row>
    <row r="35" spans="1:15" x14ac:dyDescent="0.25">
      <c r="A35" s="80"/>
      <c r="B35" s="81"/>
      <c r="C35" s="60"/>
      <c r="D35" s="83">
        <f t="shared" si="2"/>
        <v>0</v>
      </c>
      <c r="E35" s="84"/>
      <c r="F35" s="84"/>
      <c r="G35" s="84"/>
      <c r="H35" s="84"/>
      <c r="I35" s="84"/>
      <c r="J35" s="84"/>
      <c r="K35" s="84"/>
      <c r="L35" s="84"/>
      <c r="M35" s="84"/>
      <c r="N35" s="84"/>
      <c r="O35" s="86"/>
    </row>
    <row r="36" spans="1:15" x14ac:dyDescent="0.25">
      <c r="A36" s="80"/>
      <c r="B36" s="81"/>
      <c r="C36" s="60"/>
      <c r="D36" s="83">
        <f t="shared" si="2"/>
        <v>0</v>
      </c>
      <c r="E36" s="84"/>
      <c r="F36" s="84"/>
      <c r="G36" s="84"/>
      <c r="H36" s="84"/>
      <c r="I36" s="84"/>
      <c r="J36" s="84"/>
      <c r="K36" s="84"/>
      <c r="L36" s="84"/>
      <c r="M36" s="84"/>
      <c r="N36" s="84"/>
      <c r="O36" s="86"/>
    </row>
    <row r="37" spans="1:15" x14ac:dyDescent="0.25">
      <c r="A37" s="80"/>
      <c r="B37" s="81"/>
      <c r="C37" s="60"/>
      <c r="D37" s="83">
        <f t="shared" si="2"/>
        <v>0</v>
      </c>
      <c r="E37" s="84"/>
      <c r="F37" s="84"/>
      <c r="G37" s="84"/>
      <c r="H37" s="84"/>
      <c r="I37" s="84"/>
      <c r="J37" s="84"/>
      <c r="K37" s="84"/>
      <c r="L37" s="84"/>
      <c r="M37" s="84"/>
      <c r="N37" s="84"/>
      <c r="O37" s="86"/>
    </row>
    <row r="38" spans="1:15" x14ac:dyDescent="0.25">
      <c r="A38" s="80"/>
      <c r="B38" s="81"/>
      <c r="C38" s="60"/>
      <c r="D38" s="83">
        <f t="shared" si="2"/>
        <v>0</v>
      </c>
      <c r="E38" s="84"/>
      <c r="F38" s="84"/>
      <c r="G38" s="84"/>
      <c r="H38" s="84"/>
      <c r="I38" s="84"/>
      <c r="J38" s="84"/>
      <c r="K38" s="84"/>
      <c r="L38" s="84"/>
      <c r="M38" s="84"/>
      <c r="N38" s="84"/>
      <c r="O38" s="86"/>
    </row>
    <row r="39" spans="1:15" x14ac:dyDescent="0.25">
      <c r="A39" s="80"/>
      <c r="B39" s="81"/>
      <c r="C39" s="60"/>
      <c r="D39" s="83">
        <f t="shared" si="2"/>
        <v>0</v>
      </c>
      <c r="E39" s="84"/>
      <c r="F39" s="84"/>
      <c r="G39" s="84"/>
      <c r="H39" s="84"/>
      <c r="I39" s="84"/>
      <c r="J39" s="84"/>
      <c r="K39" s="84"/>
      <c r="L39" s="84"/>
      <c r="M39" s="84"/>
      <c r="N39" s="84"/>
      <c r="O39" s="86"/>
    </row>
    <row r="40" spans="1:15" x14ac:dyDescent="0.25">
      <c r="A40" s="80"/>
      <c r="B40" s="81"/>
      <c r="C40" s="60"/>
      <c r="D40" s="83">
        <f t="shared" si="2"/>
        <v>0</v>
      </c>
      <c r="E40" s="84"/>
      <c r="F40" s="84"/>
      <c r="G40" s="84"/>
      <c r="H40" s="84"/>
      <c r="I40" s="84"/>
      <c r="J40" s="84"/>
      <c r="K40" s="84"/>
      <c r="L40" s="84"/>
      <c r="M40" s="84"/>
      <c r="N40" s="84"/>
      <c r="O40" s="86"/>
    </row>
    <row r="41" spans="1:15" ht="13.8" thickBot="1" x14ac:dyDescent="0.3">
      <c r="A41" s="80"/>
      <c r="B41" s="81"/>
      <c r="C41" s="60"/>
      <c r="D41" s="83"/>
      <c r="E41" s="84"/>
      <c r="F41" s="84"/>
      <c r="G41" s="84"/>
      <c r="H41" s="84"/>
      <c r="I41" s="84"/>
      <c r="J41" s="84"/>
      <c r="K41" s="84"/>
      <c r="L41" s="84"/>
      <c r="M41" s="84"/>
      <c r="N41" s="84"/>
      <c r="O41" s="86"/>
    </row>
    <row r="42" spans="1:15" ht="16.2" thickBot="1" x14ac:dyDescent="0.3">
      <c r="A42" s="87"/>
      <c r="B42" s="88"/>
      <c r="C42" s="89" t="s">
        <v>17</v>
      </c>
      <c r="D42" s="90">
        <f t="shared" ref="D42:O42" si="3">SUM(D27:D41)</f>
        <v>0</v>
      </c>
      <c r="E42" s="91">
        <f t="shared" si="3"/>
        <v>0</v>
      </c>
      <c r="F42" s="91">
        <f t="shared" si="3"/>
        <v>0</v>
      </c>
      <c r="G42" s="91">
        <f t="shared" si="3"/>
        <v>0</v>
      </c>
      <c r="H42" s="91">
        <f t="shared" si="3"/>
        <v>0</v>
      </c>
      <c r="I42" s="91">
        <f t="shared" si="3"/>
        <v>0</v>
      </c>
      <c r="J42" s="91">
        <f t="shared" si="3"/>
        <v>0</v>
      </c>
      <c r="K42" s="91">
        <f>SUM(K27:K41)</f>
        <v>0</v>
      </c>
      <c r="L42" s="91">
        <f>SUM(L27:L41)</f>
        <v>0</v>
      </c>
      <c r="M42" s="91">
        <f t="shared" si="3"/>
        <v>0</v>
      </c>
      <c r="N42" s="91">
        <f t="shared" si="3"/>
        <v>0</v>
      </c>
      <c r="O42" s="92">
        <f t="shared" si="3"/>
        <v>0</v>
      </c>
    </row>
    <row r="43" spans="1:15" ht="13.8" x14ac:dyDescent="0.25">
      <c r="A43" s="87"/>
      <c r="B43" s="93"/>
      <c r="C43" s="93"/>
      <c r="D43" s="94" t="s">
        <v>26</v>
      </c>
      <c r="E43" s="93"/>
      <c r="F43" s="93"/>
      <c r="G43" s="93"/>
      <c r="H43" s="93"/>
      <c r="I43" s="93"/>
      <c r="J43" s="93"/>
      <c r="K43" s="93"/>
      <c r="L43" s="93"/>
      <c r="M43" s="93"/>
      <c r="N43" s="93"/>
      <c r="O43" s="108" t="s">
        <v>27</v>
      </c>
    </row>
    <row r="44" spans="1:15" ht="13.8" thickBot="1" x14ac:dyDescent="0.3">
      <c r="A44" s="97"/>
      <c r="B44" s="72"/>
      <c r="C44" s="72" t="s">
        <v>71</v>
      </c>
      <c r="D44" s="98">
        <f>SUM(E42:O42)-D42</f>
        <v>0</v>
      </c>
      <c r="E44" s="253" t="str">
        <f>IF(D44=0,"","ERROR - figures do not add across")</f>
        <v/>
      </c>
      <c r="F44" s="72"/>
      <c r="G44" s="72"/>
      <c r="H44" s="72"/>
      <c r="I44" s="72"/>
      <c r="J44" s="72"/>
      <c r="K44" s="72"/>
      <c r="L44" s="72"/>
      <c r="M44" s="72"/>
      <c r="N44" s="72"/>
      <c r="O44" s="99"/>
    </row>
    <row r="46" spans="1:15" ht="13.8" thickBot="1" x14ac:dyDescent="0.3"/>
    <row r="47" spans="1:15" ht="18" thickBot="1" x14ac:dyDescent="0.3">
      <c r="A47" s="109" t="s">
        <v>28</v>
      </c>
      <c r="B47" s="61"/>
      <c r="C47" s="61"/>
      <c r="D47" s="110"/>
      <c r="E47" s="239" t="s">
        <v>10</v>
      </c>
      <c r="F47" s="70">
        <f>O3</f>
        <v>40875</v>
      </c>
      <c r="H47" s="109" t="s">
        <v>132</v>
      </c>
      <c r="I47" s="61"/>
      <c r="J47" s="61"/>
      <c r="K47" s="68"/>
      <c r="L47" s="68"/>
      <c r="M47" s="68"/>
      <c r="N47" s="239" t="s">
        <v>10</v>
      </c>
      <c r="O47" s="70">
        <f>F47</f>
        <v>40875</v>
      </c>
    </row>
    <row r="48" spans="1:15" x14ac:dyDescent="0.25">
      <c r="A48" s="102"/>
      <c r="B48" s="93"/>
      <c r="C48" s="93"/>
      <c r="D48" s="93"/>
      <c r="E48" s="93"/>
      <c r="F48" s="103"/>
      <c r="H48" s="102"/>
      <c r="I48" s="93"/>
      <c r="J48" s="93"/>
      <c r="K48" s="93"/>
      <c r="L48" s="93"/>
      <c r="M48" s="93"/>
      <c r="N48" s="93"/>
      <c r="O48" s="103"/>
    </row>
    <row r="49" spans="1:15" x14ac:dyDescent="0.25">
      <c r="A49" s="111" t="s">
        <v>29</v>
      </c>
      <c r="B49" s="93"/>
      <c r="C49" s="93"/>
      <c r="D49" s="93"/>
      <c r="E49" s="83">
        <f>'Month 7'!E53</f>
        <v>0</v>
      </c>
      <c r="F49" s="103"/>
      <c r="H49" s="112"/>
      <c r="I49" s="93"/>
      <c r="J49" s="93"/>
      <c r="K49" s="93"/>
      <c r="L49" s="93"/>
      <c r="M49" s="93"/>
      <c r="N49" s="93"/>
      <c r="O49" s="103"/>
    </row>
    <row r="50" spans="1:15" ht="14.4" thickBot="1" x14ac:dyDescent="0.3">
      <c r="A50" s="111" t="s">
        <v>30</v>
      </c>
      <c r="B50" s="93"/>
      <c r="C50" s="94"/>
      <c r="D50" s="94" t="s">
        <v>18</v>
      </c>
      <c r="E50" s="113">
        <f>+D19</f>
        <v>0</v>
      </c>
      <c r="F50" s="103"/>
      <c r="H50" s="112" t="s">
        <v>29</v>
      </c>
      <c r="I50" s="93"/>
      <c r="J50" s="93"/>
      <c r="K50" s="93"/>
      <c r="L50" s="93"/>
      <c r="N50" s="114">
        <f>'Month 7'!N56</f>
        <v>0</v>
      </c>
      <c r="O50" s="103"/>
    </row>
    <row r="51" spans="1:15" ht="13.8" x14ac:dyDescent="0.25">
      <c r="A51" s="111"/>
      <c r="B51" s="93"/>
      <c r="C51" s="94"/>
      <c r="D51" s="94"/>
      <c r="E51" s="83">
        <f>SUM(E49:E50)</f>
        <v>0</v>
      </c>
      <c r="F51" s="103"/>
      <c r="H51" s="112"/>
      <c r="I51" s="93"/>
      <c r="J51" s="93"/>
      <c r="K51" s="93"/>
      <c r="L51" s="93"/>
      <c r="N51" s="114"/>
      <c r="O51" s="103"/>
    </row>
    <row r="52" spans="1:15" ht="14.4" thickBot="1" x14ac:dyDescent="0.3">
      <c r="A52" s="111" t="s">
        <v>59</v>
      </c>
      <c r="B52" s="93"/>
      <c r="C52" s="94"/>
      <c r="D52" s="94" t="s">
        <v>26</v>
      </c>
      <c r="E52" s="83">
        <f>+D42</f>
        <v>0</v>
      </c>
      <c r="F52" s="103"/>
      <c r="H52" s="112" t="s">
        <v>133</v>
      </c>
      <c r="I52" s="93"/>
      <c r="J52" s="93"/>
      <c r="K52" s="93"/>
      <c r="L52" s="93"/>
      <c r="N52" s="114">
        <f>L42</f>
        <v>0</v>
      </c>
      <c r="O52" s="103"/>
    </row>
    <row r="53" spans="1:15" ht="14.4" thickBot="1" x14ac:dyDescent="0.3">
      <c r="A53" s="111" t="s">
        <v>31</v>
      </c>
      <c r="B53" s="94"/>
      <c r="C53" s="94"/>
      <c r="D53" s="108" t="s">
        <v>32</v>
      </c>
      <c r="E53" s="115">
        <f>SUM(E51-E52)</f>
        <v>0</v>
      </c>
      <c r="F53" s="103"/>
      <c r="H53" s="112"/>
      <c r="I53" s="93"/>
      <c r="J53" s="93"/>
      <c r="K53" s="93"/>
      <c r="L53" s="93"/>
      <c r="N53" s="114"/>
      <c r="O53" s="103"/>
    </row>
    <row r="54" spans="1:15" ht="13.8" thickBot="1" x14ac:dyDescent="0.3">
      <c r="A54" s="102"/>
      <c r="B54" s="93"/>
      <c r="C54" s="93"/>
      <c r="D54" s="93"/>
      <c r="E54" s="93"/>
      <c r="F54" s="103"/>
      <c r="H54" s="112" t="s">
        <v>134</v>
      </c>
      <c r="I54" s="93"/>
      <c r="J54" s="93"/>
      <c r="K54" s="93"/>
      <c r="L54" s="93"/>
      <c r="N54" s="114">
        <f>-D88</f>
        <v>0</v>
      </c>
      <c r="O54" s="103"/>
    </row>
    <row r="55" spans="1:15" ht="18" thickBot="1" x14ac:dyDescent="0.3">
      <c r="A55" s="116" t="s">
        <v>33</v>
      </c>
      <c r="B55" s="117"/>
      <c r="C55" s="61"/>
      <c r="D55" s="118"/>
      <c r="E55" s="93"/>
      <c r="F55" s="103"/>
      <c r="H55" s="112"/>
      <c r="I55" s="93"/>
      <c r="J55" s="93"/>
      <c r="K55" s="93"/>
      <c r="L55" s="93"/>
      <c r="N55" s="114"/>
      <c r="O55" s="103"/>
    </row>
    <row r="56" spans="1:15" ht="13.8" thickBot="1" x14ac:dyDescent="0.3">
      <c r="A56" s="102"/>
      <c r="B56" s="93"/>
      <c r="C56" s="93"/>
      <c r="D56" s="93"/>
      <c r="E56" s="93"/>
      <c r="F56" s="103"/>
      <c r="H56" s="112" t="s">
        <v>31</v>
      </c>
      <c r="I56" s="93"/>
      <c r="J56" s="93"/>
      <c r="K56" s="93"/>
      <c r="L56" s="93"/>
      <c r="N56" s="119">
        <f>SUM(N50:N55)</f>
        <v>0</v>
      </c>
      <c r="O56" s="103"/>
    </row>
    <row r="57" spans="1:15" ht="13.8" thickBot="1" x14ac:dyDescent="0.3">
      <c r="A57" s="111" t="s">
        <v>34</v>
      </c>
      <c r="B57" s="93"/>
      <c r="C57" s="120"/>
      <c r="D57" s="121"/>
      <c r="E57" s="122"/>
      <c r="F57" s="103"/>
      <c r="H57" s="102"/>
      <c r="I57" s="93"/>
      <c r="J57" s="93"/>
      <c r="K57" s="93"/>
      <c r="L57" s="93"/>
      <c r="M57" s="93"/>
      <c r="N57" s="93"/>
      <c r="O57" s="103"/>
    </row>
    <row r="58" spans="1:15" x14ac:dyDescent="0.25">
      <c r="A58" s="111"/>
      <c r="B58" s="93"/>
      <c r="C58" s="120"/>
      <c r="D58" s="121"/>
      <c r="E58" s="83"/>
      <c r="F58" s="103"/>
      <c r="H58" s="102"/>
      <c r="I58" s="93"/>
      <c r="J58" s="93"/>
      <c r="K58" s="93"/>
      <c r="L58" s="93"/>
      <c r="M58" s="93"/>
      <c r="N58" s="93"/>
      <c r="O58" s="103"/>
    </row>
    <row r="59" spans="1:15" x14ac:dyDescent="0.25">
      <c r="A59" s="111" t="s">
        <v>35</v>
      </c>
      <c r="B59" s="93"/>
      <c r="C59" s="120"/>
      <c r="D59" s="123"/>
      <c r="E59" s="83"/>
      <c r="F59" s="103"/>
      <c r="H59" s="102"/>
      <c r="I59" s="93"/>
      <c r="J59" s="93"/>
      <c r="K59" s="93"/>
      <c r="L59" s="93"/>
      <c r="M59" s="93"/>
      <c r="N59" s="93"/>
      <c r="O59" s="103"/>
    </row>
    <row r="60" spans="1:15" x14ac:dyDescent="0.25">
      <c r="A60" s="124"/>
      <c r="B60" s="52"/>
      <c r="C60" s="125"/>
      <c r="D60" s="126"/>
      <c r="E60" s="83"/>
      <c r="F60" s="103"/>
      <c r="H60" s="102"/>
      <c r="I60" s="93"/>
      <c r="J60" s="93"/>
      <c r="K60" s="93"/>
      <c r="L60" s="93"/>
      <c r="M60" s="93"/>
      <c r="N60" s="93"/>
      <c r="O60" s="103"/>
    </row>
    <row r="61" spans="1:15" ht="13.8" thickBot="1" x14ac:dyDescent="0.3">
      <c r="A61" s="124"/>
      <c r="B61" s="52"/>
      <c r="C61" s="125"/>
      <c r="D61" s="126"/>
      <c r="E61" s="127">
        <f>SUM(D59:D61)</f>
        <v>0</v>
      </c>
      <c r="F61" s="103"/>
      <c r="H61" s="102"/>
      <c r="I61" s="93"/>
      <c r="J61" s="93"/>
      <c r="K61" s="93"/>
      <c r="L61" s="93"/>
      <c r="M61" s="93"/>
      <c r="N61" s="93"/>
      <c r="O61" s="103"/>
    </row>
    <row r="62" spans="1:15" x14ac:dyDescent="0.25">
      <c r="A62" s="111"/>
      <c r="B62" s="93"/>
      <c r="C62" s="120"/>
      <c r="D62" s="123"/>
      <c r="E62" s="83">
        <f>SUM(E57:E61)</f>
        <v>0</v>
      </c>
      <c r="F62" s="103"/>
      <c r="H62" s="102"/>
      <c r="I62" s="93"/>
      <c r="J62" s="93"/>
      <c r="K62" s="93"/>
      <c r="L62" s="93"/>
      <c r="M62" s="93"/>
      <c r="N62" s="93"/>
      <c r="O62" s="103"/>
    </row>
    <row r="63" spans="1:15" x14ac:dyDescent="0.25">
      <c r="A63" s="111" t="s">
        <v>36</v>
      </c>
      <c r="B63" s="93"/>
      <c r="C63" s="128"/>
      <c r="D63" s="129"/>
      <c r="E63" s="83"/>
      <c r="F63" s="103"/>
      <c r="H63" s="102"/>
      <c r="I63" s="93"/>
      <c r="J63" s="93"/>
      <c r="K63" s="93"/>
      <c r="L63" s="93"/>
      <c r="M63" s="93"/>
      <c r="N63" s="93"/>
      <c r="O63" s="103"/>
    </row>
    <row r="64" spans="1:15" x14ac:dyDescent="0.25">
      <c r="A64" s="124"/>
      <c r="B64" s="52"/>
      <c r="C64" s="60"/>
      <c r="D64" s="130"/>
      <c r="E64" s="83"/>
      <c r="F64" s="103"/>
      <c r="H64" s="102"/>
      <c r="I64" s="93"/>
      <c r="J64" s="93"/>
      <c r="K64" s="93"/>
      <c r="L64" s="93"/>
      <c r="M64" s="93"/>
      <c r="N64" s="93"/>
      <c r="O64" s="103"/>
    </row>
    <row r="65" spans="1:15" x14ac:dyDescent="0.25">
      <c r="A65" s="124"/>
      <c r="B65" s="52"/>
      <c r="C65" s="60"/>
      <c r="D65" s="130"/>
      <c r="E65" s="83"/>
      <c r="F65" s="103"/>
      <c r="H65" s="102"/>
      <c r="I65" s="93"/>
      <c r="J65" s="93"/>
      <c r="K65" s="93"/>
      <c r="L65" s="93"/>
      <c r="M65" s="93"/>
      <c r="N65" s="93"/>
      <c r="O65" s="103"/>
    </row>
    <row r="66" spans="1:15" ht="13.8" thickBot="1" x14ac:dyDescent="0.3">
      <c r="A66" s="124"/>
      <c r="B66" s="52"/>
      <c r="C66" s="125"/>
      <c r="D66" s="126"/>
      <c r="E66" s="83">
        <f>SUM(D63:D66)</f>
        <v>0</v>
      </c>
      <c r="F66" s="103"/>
      <c r="H66" s="102"/>
      <c r="I66" s="93"/>
      <c r="J66" s="93"/>
      <c r="K66" s="93"/>
      <c r="L66" s="93"/>
      <c r="M66" s="93"/>
      <c r="N66" s="93"/>
      <c r="O66" s="103"/>
    </row>
    <row r="67" spans="1:15" ht="16.2" thickBot="1" x14ac:dyDescent="0.3">
      <c r="A67" s="131" t="s">
        <v>37</v>
      </c>
      <c r="B67" s="132"/>
      <c r="C67" s="132"/>
      <c r="D67" s="132" t="s">
        <v>32</v>
      </c>
      <c r="E67" s="115">
        <f>SUM(E62-E66)</f>
        <v>0</v>
      </c>
      <c r="F67" s="99"/>
      <c r="H67" s="133"/>
      <c r="I67" s="72"/>
      <c r="J67" s="72"/>
      <c r="K67" s="72"/>
      <c r="L67" s="72"/>
      <c r="M67" s="72"/>
      <c r="N67" s="72"/>
      <c r="O67" s="99"/>
    </row>
    <row r="69" spans="1:15" ht="13.8" thickBot="1" x14ac:dyDescent="0.3"/>
    <row r="70" spans="1:15" ht="18" thickBot="1" x14ac:dyDescent="0.3">
      <c r="A70" s="100" t="s">
        <v>38</v>
      </c>
      <c r="B70" s="101"/>
      <c r="C70" s="61"/>
      <c r="D70" s="68"/>
      <c r="E70" s="68"/>
      <c r="F70" s="68"/>
      <c r="G70" s="68"/>
      <c r="H70" s="68"/>
      <c r="I70" s="68"/>
      <c r="J70" s="68"/>
      <c r="K70" s="68"/>
      <c r="L70" s="68"/>
      <c r="M70" s="68"/>
      <c r="N70" s="239" t="s">
        <v>10</v>
      </c>
      <c r="O70" s="70">
        <f>O3</f>
        <v>40875</v>
      </c>
    </row>
    <row r="71" spans="1:15" ht="13.8" thickBot="1" x14ac:dyDescent="0.3">
      <c r="A71" s="102"/>
      <c r="B71" s="93"/>
      <c r="C71" s="93"/>
      <c r="D71" s="93"/>
      <c r="E71" s="93"/>
      <c r="F71" s="93"/>
      <c r="G71" s="93"/>
      <c r="H71" s="93"/>
      <c r="I71" s="93"/>
      <c r="J71" s="93"/>
      <c r="K71" s="93"/>
      <c r="L71" s="93"/>
      <c r="M71" s="93"/>
      <c r="N71" s="93"/>
      <c r="O71" s="103"/>
    </row>
    <row r="72" spans="1:15" s="79" customFormat="1" ht="27" customHeight="1" thickBot="1" x14ac:dyDescent="0.3">
      <c r="A72" s="74" t="s">
        <v>12</v>
      </c>
      <c r="B72" s="75" t="s">
        <v>129</v>
      </c>
      <c r="C72" s="105" t="s">
        <v>123</v>
      </c>
      <c r="D72" s="106" t="s">
        <v>64</v>
      </c>
      <c r="E72" s="107" t="str">
        <f>'Month 7'!E72</f>
        <v>Motor &amp; Travel</v>
      </c>
      <c r="F72" s="107" t="str">
        <f>'Month 7'!F72</f>
        <v>Print, Post Stationery</v>
      </c>
      <c r="G72" s="107" t="str">
        <f>'Month 7'!G72</f>
        <v>Subsist Accom</v>
      </c>
      <c r="H72" s="107" t="str">
        <f>'Month 7'!H72</f>
        <v>Software &amp; Materials</v>
      </c>
      <c r="I72" s="77" t="str">
        <f>'Month 7'!I72</f>
        <v>Books &amp; Magazines</v>
      </c>
      <c r="J72" s="107" t="str">
        <f>'Month 7'!J72</f>
        <v>Mobile &amp; Telephone</v>
      </c>
      <c r="K72" s="107" t="str">
        <f>'Month 7'!K72</f>
        <v xml:space="preserve"> </v>
      </c>
      <c r="L72" s="107" t="str">
        <f>'Month 7'!L72</f>
        <v xml:space="preserve"> </v>
      </c>
      <c r="M72" s="107" t="str">
        <f>'Month 7'!M72</f>
        <v xml:space="preserve"> </v>
      </c>
      <c r="N72" s="107" t="str">
        <f>'Month 7'!N72</f>
        <v>Sundries</v>
      </c>
      <c r="O72" s="134" t="s">
        <v>142</v>
      </c>
    </row>
    <row r="73" spans="1:15" x14ac:dyDescent="0.25">
      <c r="A73" s="80"/>
      <c r="B73" s="81"/>
      <c r="C73" s="60"/>
      <c r="D73" s="83">
        <f t="shared" ref="D73:D86" si="4">SUM(E73:O73)</f>
        <v>0</v>
      </c>
      <c r="E73" s="84"/>
      <c r="F73" s="84"/>
      <c r="G73" s="84"/>
      <c r="H73" s="84"/>
      <c r="I73" s="84"/>
      <c r="J73" s="84"/>
      <c r="K73" s="84"/>
      <c r="L73" s="84"/>
      <c r="M73" s="84"/>
      <c r="N73" s="84"/>
      <c r="O73" s="86"/>
    </row>
    <row r="74" spans="1:15" x14ac:dyDescent="0.25">
      <c r="A74" s="80"/>
      <c r="B74" s="81"/>
      <c r="C74" s="60"/>
      <c r="D74" s="83">
        <f t="shared" si="4"/>
        <v>0</v>
      </c>
      <c r="E74" s="84"/>
      <c r="F74" s="84"/>
      <c r="G74" s="84"/>
      <c r="H74" s="84"/>
      <c r="I74" s="84"/>
      <c r="J74" s="84"/>
      <c r="K74" s="84"/>
      <c r="L74" s="84"/>
      <c r="M74" s="84"/>
      <c r="N74" s="84"/>
      <c r="O74" s="86"/>
    </row>
    <row r="75" spans="1:15" x14ac:dyDescent="0.25">
      <c r="A75" s="80"/>
      <c r="B75" s="81"/>
      <c r="C75" s="60"/>
      <c r="D75" s="83">
        <f t="shared" si="4"/>
        <v>0</v>
      </c>
      <c r="E75" s="84"/>
      <c r="F75" s="84"/>
      <c r="G75" s="84"/>
      <c r="H75" s="84"/>
      <c r="I75" s="84"/>
      <c r="J75" s="84"/>
      <c r="K75" s="84"/>
      <c r="L75" s="84"/>
      <c r="M75" s="84"/>
      <c r="N75" s="84"/>
      <c r="O75" s="86"/>
    </row>
    <row r="76" spans="1:15" x14ac:dyDescent="0.25">
      <c r="A76" s="80"/>
      <c r="B76" s="81"/>
      <c r="C76" s="60"/>
      <c r="D76" s="83">
        <f t="shared" si="4"/>
        <v>0</v>
      </c>
      <c r="E76" s="84"/>
      <c r="F76" s="84"/>
      <c r="G76" s="84"/>
      <c r="H76" s="84"/>
      <c r="I76" s="84"/>
      <c r="J76" s="84"/>
      <c r="K76" s="84"/>
      <c r="L76" s="84"/>
      <c r="M76" s="84"/>
      <c r="N76" s="84"/>
      <c r="O76" s="86"/>
    </row>
    <row r="77" spans="1:15" x14ac:dyDescent="0.25">
      <c r="A77" s="80"/>
      <c r="B77" s="81"/>
      <c r="C77" s="60"/>
      <c r="D77" s="83">
        <f t="shared" si="4"/>
        <v>0</v>
      </c>
      <c r="E77" s="84"/>
      <c r="F77" s="84"/>
      <c r="G77" s="84"/>
      <c r="H77" s="84"/>
      <c r="I77" s="84"/>
      <c r="J77" s="84"/>
      <c r="K77" s="84"/>
      <c r="L77" s="84"/>
      <c r="M77" s="84"/>
      <c r="N77" s="84"/>
      <c r="O77" s="86"/>
    </row>
    <row r="78" spans="1:15" x14ac:dyDescent="0.25">
      <c r="A78" s="80"/>
      <c r="B78" s="81"/>
      <c r="C78" s="60"/>
      <c r="D78" s="83">
        <f t="shared" si="4"/>
        <v>0</v>
      </c>
      <c r="E78" s="84"/>
      <c r="F78" s="84"/>
      <c r="G78" s="84"/>
      <c r="H78" s="84"/>
      <c r="I78" s="84"/>
      <c r="J78" s="84"/>
      <c r="K78" s="84"/>
      <c r="L78" s="84"/>
      <c r="M78" s="84"/>
      <c r="N78" s="84"/>
      <c r="O78" s="86"/>
    </row>
    <row r="79" spans="1:15" x14ac:dyDescent="0.25">
      <c r="A79" s="80"/>
      <c r="B79" s="81"/>
      <c r="C79" s="60"/>
      <c r="D79" s="83">
        <f t="shared" si="4"/>
        <v>0</v>
      </c>
      <c r="E79" s="84"/>
      <c r="F79" s="84"/>
      <c r="G79" s="84"/>
      <c r="H79" s="84"/>
      <c r="I79" s="84"/>
      <c r="J79" s="84"/>
      <c r="K79" s="84"/>
      <c r="L79" s="84"/>
      <c r="M79" s="84"/>
      <c r="N79" s="84"/>
      <c r="O79" s="86"/>
    </row>
    <row r="80" spans="1:15" x14ac:dyDescent="0.25">
      <c r="A80" s="80"/>
      <c r="B80" s="81"/>
      <c r="C80" s="60"/>
      <c r="D80" s="83">
        <f t="shared" si="4"/>
        <v>0</v>
      </c>
      <c r="E80" s="84"/>
      <c r="F80" s="84"/>
      <c r="G80" s="84"/>
      <c r="H80" s="84"/>
      <c r="I80" s="84"/>
      <c r="J80" s="84"/>
      <c r="K80" s="84"/>
      <c r="L80" s="84"/>
      <c r="M80" s="84"/>
      <c r="N80" s="84"/>
      <c r="O80" s="86"/>
    </row>
    <row r="81" spans="1:15" x14ac:dyDescent="0.25">
      <c r="A81" s="80"/>
      <c r="B81" s="81"/>
      <c r="C81" s="60"/>
      <c r="D81" s="83">
        <f t="shared" si="4"/>
        <v>0</v>
      </c>
      <c r="E81" s="84"/>
      <c r="F81" s="84"/>
      <c r="G81" s="84"/>
      <c r="H81" s="84"/>
      <c r="I81" s="84"/>
      <c r="J81" s="84"/>
      <c r="K81" s="84"/>
      <c r="L81" s="84"/>
      <c r="M81" s="84"/>
      <c r="N81" s="84"/>
      <c r="O81" s="86"/>
    </row>
    <row r="82" spans="1:15" x14ac:dyDescent="0.25">
      <c r="A82" s="80"/>
      <c r="B82" s="81"/>
      <c r="C82" s="60"/>
      <c r="D82" s="83">
        <f t="shared" si="4"/>
        <v>0</v>
      </c>
      <c r="E82" s="84"/>
      <c r="F82" s="84"/>
      <c r="G82" s="84"/>
      <c r="H82" s="84"/>
      <c r="I82" s="84"/>
      <c r="J82" s="84"/>
      <c r="K82" s="84"/>
      <c r="L82" s="84"/>
      <c r="M82" s="84"/>
      <c r="N82" s="84"/>
      <c r="O82" s="86"/>
    </row>
    <row r="83" spans="1:15" x14ac:dyDescent="0.25">
      <c r="A83" s="80"/>
      <c r="B83" s="81"/>
      <c r="C83" s="60"/>
      <c r="D83" s="83">
        <f t="shared" si="4"/>
        <v>0</v>
      </c>
      <c r="E83" s="84"/>
      <c r="F83" s="84"/>
      <c r="G83" s="84"/>
      <c r="H83" s="84"/>
      <c r="I83" s="84"/>
      <c r="J83" s="84"/>
      <c r="K83" s="84"/>
      <c r="L83" s="84"/>
      <c r="M83" s="84"/>
      <c r="N83" s="84"/>
      <c r="O83" s="86"/>
    </row>
    <row r="84" spans="1:15" x14ac:dyDescent="0.25">
      <c r="A84" s="80"/>
      <c r="B84" s="81"/>
      <c r="C84" s="60"/>
      <c r="D84" s="83">
        <f t="shared" si="4"/>
        <v>0</v>
      </c>
      <c r="E84" s="84"/>
      <c r="F84" s="84"/>
      <c r="G84" s="84"/>
      <c r="H84" s="84"/>
      <c r="I84" s="84"/>
      <c r="J84" s="84"/>
      <c r="K84" s="84"/>
      <c r="L84" s="84"/>
      <c r="M84" s="84"/>
      <c r="N84" s="84"/>
      <c r="O84" s="86"/>
    </row>
    <row r="85" spans="1:15" x14ac:dyDescent="0.25">
      <c r="A85" s="80"/>
      <c r="B85" s="81"/>
      <c r="C85" s="60"/>
      <c r="D85" s="83">
        <f t="shared" si="4"/>
        <v>0</v>
      </c>
      <c r="E85" s="84"/>
      <c r="F85" s="84"/>
      <c r="G85" s="84"/>
      <c r="H85" s="84"/>
      <c r="I85" s="84"/>
      <c r="J85" s="84"/>
      <c r="K85" s="84"/>
      <c r="L85" s="84"/>
      <c r="M85" s="84"/>
      <c r="N85" s="84"/>
      <c r="O85" s="86"/>
    </row>
    <row r="86" spans="1:15" x14ac:dyDescent="0.25">
      <c r="A86" s="135"/>
      <c r="B86" s="81"/>
      <c r="C86" s="60"/>
      <c r="D86" s="83">
        <f t="shared" si="4"/>
        <v>0</v>
      </c>
      <c r="E86" s="84"/>
      <c r="F86" s="84"/>
      <c r="G86" s="84"/>
      <c r="H86" s="84"/>
      <c r="I86" s="84"/>
      <c r="J86" s="84"/>
      <c r="K86" s="84"/>
      <c r="L86" s="84"/>
      <c r="M86" s="84"/>
      <c r="N86" s="84"/>
      <c r="O86" s="86"/>
    </row>
    <row r="87" spans="1:15" ht="13.8" thickBot="1" x14ac:dyDescent="0.3">
      <c r="A87" s="80"/>
      <c r="B87" s="81"/>
      <c r="C87" s="60"/>
      <c r="D87" s="83"/>
      <c r="E87" s="84" t="s">
        <v>11</v>
      </c>
      <c r="F87" s="84"/>
      <c r="G87" s="84"/>
      <c r="H87" s="84"/>
      <c r="I87" s="84"/>
      <c r="J87" s="84"/>
      <c r="K87" s="84"/>
      <c r="L87" s="84"/>
      <c r="M87" s="84"/>
      <c r="N87" s="84"/>
      <c r="O87" s="86"/>
    </row>
    <row r="88" spans="1:15" ht="16.2" thickBot="1" x14ac:dyDescent="0.3">
      <c r="A88" s="87"/>
      <c r="B88" s="88"/>
      <c r="C88" s="89" t="s">
        <v>17</v>
      </c>
      <c r="D88" s="90">
        <f t="shared" ref="D88:J88" si="5">SUM(D73:D87)</f>
        <v>0</v>
      </c>
      <c r="E88" s="91">
        <f t="shared" si="5"/>
        <v>0</v>
      </c>
      <c r="F88" s="91">
        <f t="shared" si="5"/>
        <v>0</v>
      </c>
      <c r="G88" s="91">
        <f t="shared" si="5"/>
        <v>0</v>
      </c>
      <c r="H88" s="91">
        <f t="shared" si="5"/>
        <v>0</v>
      </c>
      <c r="I88" s="91">
        <f t="shared" si="5"/>
        <v>0</v>
      </c>
      <c r="J88" s="91">
        <f t="shared" si="5"/>
        <v>0</v>
      </c>
      <c r="K88" s="91">
        <f>SUM(K73:K87)</f>
        <v>0</v>
      </c>
      <c r="L88" s="91">
        <f>SUM(L73:L87)</f>
        <v>0</v>
      </c>
      <c r="M88" s="91">
        <f>SUM(M73:M87)</f>
        <v>0</v>
      </c>
      <c r="N88" s="91">
        <f>SUM(N73:N87)</f>
        <v>0</v>
      </c>
      <c r="O88" s="92">
        <f>SUM(O73:O87)</f>
        <v>0</v>
      </c>
    </row>
    <row r="89" spans="1:15" ht="15.6" x14ac:dyDescent="0.25">
      <c r="A89" s="87"/>
      <c r="B89" s="93"/>
      <c r="C89" s="93"/>
      <c r="D89" s="93"/>
      <c r="E89" s="93"/>
      <c r="F89" s="93"/>
      <c r="G89" s="93"/>
      <c r="H89" s="93"/>
      <c r="I89" s="93"/>
      <c r="J89" s="93"/>
      <c r="K89" s="93"/>
      <c r="L89" s="93"/>
      <c r="M89" s="93"/>
      <c r="N89" s="93"/>
      <c r="O89" s="136" t="s">
        <v>41</v>
      </c>
    </row>
    <row r="90" spans="1:15" ht="16.2" thickBot="1" x14ac:dyDescent="0.3">
      <c r="A90" s="97"/>
      <c r="B90" s="72"/>
      <c r="C90" s="72" t="s">
        <v>71</v>
      </c>
      <c r="D90" s="98">
        <f>SUM(E88:O88)-D88</f>
        <v>0</v>
      </c>
      <c r="E90" s="253" t="str">
        <f>IF(D90=0,"","ERROR - figures do not add across")</f>
        <v/>
      </c>
      <c r="F90" s="72"/>
      <c r="G90" s="72"/>
      <c r="H90" s="72"/>
      <c r="I90" s="72"/>
      <c r="J90" s="72"/>
      <c r="K90" s="72"/>
      <c r="L90" s="72"/>
      <c r="M90" s="72"/>
      <c r="N90" s="72"/>
      <c r="O90" s="137"/>
    </row>
  </sheetData>
  <customSheetViews>
    <customSheetView guid="{93A5533C-1BF0-4CFD-B527-DBAD1AD08F71}" fitToPage="1" showRuler="0">
      <selection activeCell="B13" sqref="B13"/>
      <pageMargins left="0.59055118110236227" right="0.15748031496062992" top="0.59055118110236227" bottom="0.59055118110236227" header="0.31496062992125984" footer="0.31496062992125984"/>
      <printOptions horizontalCentered="1"/>
      <pageSetup paperSize="9" scale="58" orientation="portrait" r:id="rId1"/>
      <headerFooter alignWithMargins="0">
        <oddHeader>&amp;C&amp;A</oddHeader>
        <oddFooter>&amp;L&amp;F&amp;CPage &amp;P&amp;R&amp;D</oddFooter>
      </headerFooter>
    </customSheetView>
  </customSheetViews>
  <phoneticPr fontId="0" type="noConversion"/>
  <printOptions horizontalCentered="1"/>
  <pageMargins left="0.59055118110236227" right="0.39370078740157483" top="0.59055118110236227" bottom="0.59055118110236227" header="0.31496062992125984" footer="0.31496062992125984"/>
  <pageSetup paperSize="9" scale="59" orientation="portrait" r:id="rId2"/>
  <headerFooter alignWithMargins="0">
    <oddHeader>&amp;C&amp;A</oddHeader>
    <oddFooter>&amp;L&amp;Z&amp;F\&amp;A&amp;CPage &amp;P&amp;R&amp;D  &amp;T</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A1:O90"/>
  <sheetViews>
    <sheetView zoomScale="85" workbookViewId="0">
      <selection activeCell="A7" sqref="A7"/>
    </sheetView>
  </sheetViews>
  <sheetFormatPr defaultColWidth="9.109375" defaultRowHeight="13.2" x14ac:dyDescent="0.25"/>
  <cols>
    <col min="1" max="1" width="10" style="66" customWidth="1"/>
    <col min="2" max="2" width="4.5546875" style="66" customWidth="1"/>
    <col min="3" max="3" width="25.6640625" style="66" customWidth="1"/>
    <col min="4" max="4" width="10.109375" style="66" customWidth="1"/>
    <col min="5" max="5" width="10" style="66" bestFit="1" customWidth="1"/>
    <col min="6" max="6" width="12.5546875" style="66" bestFit="1" customWidth="1"/>
    <col min="7" max="7" width="9.88671875" style="66" bestFit="1" customWidth="1"/>
    <col min="8" max="8" width="11.44140625" style="66" bestFit="1" customWidth="1"/>
    <col min="9" max="9" width="10.88671875" style="66" bestFit="1" customWidth="1"/>
    <col min="10" max="10" width="10.6640625" style="66" bestFit="1" customWidth="1"/>
    <col min="11" max="11" width="9.109375" style="66"/>
    <col min="12" max="12" width="7.109375" style="66" customWidth="1"/>
    <col min="13" max="13" width="8.88671875" style="66" customWidth="1"/>
    <col min="14" max="14" width="9.88671875" style="66" bestFit="1" customWidth="1"/>
    <col min="15" max="15" width="9.5546875" style="66" bestFit="1" customWidth="1"/>
    <col min="16" max="16384" width="9.109375" style="66"/>
  </cols>
  <sheetData>
    <row r="1" spans="1:15" ht="16.2" thickBot="1" x14ac:dyDescent="0.3">
      <c r="A1" s="63" t="str">
        <f>'Company Info'!B5</f>
        <v>ABC Limited</v>
      </c>
      <c r="B1" s="64"/>
      <c r="C1" s="64"/>
      <c r="D1" s="65"/>
    </row>
    <row r="2" spans="1:15" ht="13.8" thickBot="1" x14ac:dyDescent="0.3"/>
    <row r="3" spans="1:15" ht="18" thickBot="1" x14ac:dyDescent="0.3">
      <c r="A3" s="67" t="s">
        <v>9</v>
      </c>
      <c r="B3" s="61"/>
      <c r="C3" s="61"/>
      <c r="D3" s="68"/>
      <c r="E3" s="68"/>
      <c r="F3" s="68"/>
      <c r="G3" s="68"/>
      <c r="H3" s="68"/>
      <c r="I3" s="68"/>
      <c r="J3" s="68"/>
      <c r="K3" s="68"/>
      <c r="L3" s="68"/>
      <c r="M3" s="68"/>
      <c r="N3" s="239" t="s">
        <v>10</v>
      </c>
      <c r="O3" s="70">
        <f>'Month 10'!O3-31</f>
        <v>40906</v>
      </c>
    </row>
    <row r="4" spans="1:15" ht="13.8" thickBot="1" x14ac:dyDescent="0.3">
      <c r="A4" s="71"/>
      <c r="B4" s="68"/>
      <c r="C4" s="68"/>
      <c r="D4" s="72"/>
      <c r="E4" s="72"/>
      <c r="F4" s="72"/>
      <c r="G4" s="72"/>
      <c r="H4" s="72"/>
      <c r="N4" s="68"/>
      <c r="O4" s="73"/>
    </row>
    <row r="5" spans="1:15" s="79" customFormat="1" ht="26.25" customHeight="1" thickBot="1" x14ac:dyDescent="0.3">
      <c r="A5" s="74" t="s">
        <v>12</v>
      </c>
      <c r="B5" s="75" t="s">
        <v>130</v>
      </c>
      <c r="C5" s="76" t="s">
        <v>123</v>
      </c>
      <c r="D5" s="75" t="s">
        <v>13</v>
      </c>
      <c r="E5" s="77" t="str">
        <f>'Month 8'!E5</f>
        <v>Net Sales</v>
      </c>
      <c r="F5" s="77" t="str">
        <f>'Month 8'!F5</f>
        <v>Expenses Reimbursed</v>
      </c>
      <c r="G5" s="77" t="str">
        <f>'Month 8'!G5</f>
        <v>VAT</v>
      </c>
      <c r="H5" s="77" t="str">
        <f>'Month 8'!H5</f>
        <v>Interest Received</v>
      </c>
      <c r="I5" s="77" t="str">
        <f>'Month 8'!I5</f>
        <v>Tax Refunds</v>
      </c>
      <c r="J5" s="77" t="str">
        <f>'Month 8'!J5</f>
        <v>Company Dep A/C</v>
      </c>
      <c r="K5" s="77">
        <f>'Month 8'!K5</f>
        <v>0</v>
      </c>
      <c r="L5" s="77">
        <f>'Month 8'!L5</f>
        <v>0</v>
      </c>
      <c r="M5" s="77">
        <f>'Month 8'!M5</f>
        <v>0</v>
      </c>
      <c r="N5" s="77">
        <f>'Month 8'!N5</f>
        <v>0</v>
      </c>
      <c r="O5" s="78" t="str">
        <f>'Month 8'!O5</f>
        <v>Sundries</v>
      </c>
    </row>
    <row r="6" spans="1:15" x14ac:dyDescent="0.25">
      <c r="A6" s="80"/>
      <c r="B6" s="81"/>
      <c r="C6" s="60"/>
      <c r="D6" s="83">
        <f t="shared" ref="D6:D17" si="0">SUM(E6:O6)</f>
        <v>0</v>
      </c>
      <c r="E6" s="84"/>
      <c r="F6" s="84"/>
      <c r="G6" s="84"/>
      <c r="H6" s="84"/>
      <c r="I6" s="84"/>
      <c r="J6" s="84"/>
      <c r="K6" s="84"/>
      <c r="L6" s="84"/>
      <c r="M6" s="84"/>
      <c r="N6" s="84"/>
      <c r="O6" s="86"/>
    </row>
    <row r="7" spans="1:15" x14ac:dyDescent="0.25">
      <c r="A7" s="80"/>
      <c r="B7" s="81"/>
      <c r="C7" s="60"/>
      <c r="D7" s="83">
        <f t="shared" si="0"/>
        <v>0</v>
      </c>
      <c r="E7" s="84"/>
      <c r="F7" s="84"/>
      <c r="G7" s="84"/>
      <c r="H7" s="84"/>
      <c r="I7" s="84"/>
      <c r="J7" s="84"/>
      <c r="K7" s="84"/>
      <c r="L7" s="84"/>
      <c r="M7" s="84"/>
      <c r="N7" s="84"/>
      <c r="O7" s="86"/>
    </row>
    <row r="8" spans="1:15" x14ac:dyDescent="0.25">
      <c r="A8" s="80"/>
      <c r="B8" s="81"/>
      <c r="C8" s="60"/>
      <c r="D8" s="83">
        <f t="shared" si="0"/>
        <v>0</v>
      </c>
      <c r="E8" s="84"/>
      <c r="F8" s="84"/>
      <c r="G8" s="84"/>
      <c r="H8" s="84"/>
      <c r="I8" s="84"/>
      <c r="J8" s="84"/>
      <c r="K8" s="84"/>
      <c r="L8" s="84"/>
      <c r="M8" s="84"/>
      <c r="N8" s="84"/>
      <c r="O8" s="86"/>
    </row>
    <row r="9" spans="1:15" x14ac:dyDescent="0.25">
      <c r="A9" s="80"/>
      <c r="B9" s="81"/>
      <c r="C9" s="60"/>
      <c r="D9" s="83">
        <f t="shared" si="0"/>
        <v>0</v>
      </c>
      <c r="E9" s="84"/>
      <c r="F9" s="84"/>
      <c r="G9" s="84"/>
      <c r="H9" s="84"/>
      <c r="I9" s="84"/>
      <c r="J9" s="84"/>
      <c r="K9" s="84"/>
      <c r="L9" s="84"/>
      <c r="M9" s="84"/>
      <c r="N9" s="84"/>
      <c r="O9" s="86"/>
    </row>
    <row r="10" spans="1:15" x14ac:dyDescent="0.25">
      <c r="A10" s="80"/>
      <c r="B10" s="81"/>
      <c r="C10" s="60"/>
      <c r="D10" s="83">
        <f t="shared" si="0"/>
        <v>0</v>
      </c>
      <c r="E10" s="84"/>
      <c r="F10" s="84"/>
      <c r="G10" s="84"/>
      <c r="H10" s="84"/>
      <c r="I10" s="84"/>
      <c r="J10" s="84"/>
      <c r="K10" s="84"/>
      <c r="L10" s="84"/>
      <c r="M10" s="84"/>
      <c r="N10" s="84"/>
      <c r="O10" s="86"/>
    </row>
    <row r="11" spans="1:15" x14ac:dyDescent="0.25">
      <c r="A11" s="80"/>
      <c r="B11" s="81"/>
      <c r="C11" s="60"/>
      <c r="D11" s="83">
        <f t="shared" si="0"/>
        <v>0</v>
      </c>
      <c r="E11" s="84"/>
      <c r="F11" s="84"/>
      <c r="G11" s="84"/>
      <c r="H11" s="84"/>
      <c r="I11" s="84"/>
      <c r="J11" s="84"/>
      <c r="K11" s="84"/>
      <c r="L11" s="84"/>
      <c r="M11" s="84"/>
      <c r="N11" s="84"/>
      <c r="O11" s="86"/>
    </row>
    <row r="12" spans="1:15" x14ac:dyDescent="0.25">
      <c r="A12" s="80"/>
      <c r="B12" s="81"/>
      <c r="C12" s="60"/>
      <c r="D12" s="83">
        <f t="shared" si="0"/>
        <v>0</v>
      </c>
      <c r="E12" s="84"/>
      <c r="F12" s="84"/>
      <c r="G12" s="84"/>
      <c r="H12" s="84"/>
      <c r="I12" s="84"/>
      <c r="J12" s="84"/>
      <c r="K12" s="84"/>
      <c r="L12" s="84"/>
      <c r="M12" s="84"/>
      <c r="N12" s="84"/>
      <c r="O12" s="86"/>
    </row>
    <row r="13" spans="1:15" x14ac:dyDescent="0.25">
      <c r="A13" s="80"/>
      <c r="B13" s="81"/>
      <c r="C13" s="60"/>
      <c r="D13" s="83">
        <f t="shared" si="0"/>
        <v>0</v>
      </c>
      <c r="E13" s="84"/>
      <c r="F13" s="84"/>
      <c r="G13" s="84"/>
      <c r="H13" s="84"/>
      <c r="I13" s="84"/>
      <c r="J13" s="84"/>
      <c r="K13" s="84"/>
      <c r="L13" s="84"/>
      <c r="M13" s="84"/>
      <c r="N13" s="84"/>
      <c r="O13" s="86"/>
    </row>
    <row r="14" spans="1:15" x14ac:dyDescent="0.25">
      <c r="A14" s="80"/>
      <c r="B14" s="81"/>
      <c r="C14" s="60"/>
      <c r="D14" s="83">
        <f t="shared" si="0"/>
        <v>0</v>
      </c>
      <c r="E14" s="84"/>
      <c r="F14" s="84"/>
      <c r="G14" s="84"/>
      <c r="H14" s="84"/>
      <c r="I14" s="84"/>
      <c r="J14" s="84"/>
      <c r="K14" s="84"/>
      <c r="L14" s="84"/>
      <c r="M14" s="84"/>
      <c r="N14" s="84"/>
      <c r="O14" s="86"/>
    </row>
    <row r="15" spans="1:15" x14ac:dyDescent="0.25">
      <c r="A15" s="80"/>
      <c r="B15" s="81"/>
      <c r="C15" s="60"/>
      <c r="D15" s="83">
        <f t="shared" si="0"/>
        <v>0</v>
      </c>
      <c r="E15" s="84"/>
      <c r="F15" s="84"/>
      <c r="G15" s="84"/>
      <c r="H15" s="84"/>
      <c r="I15" s="84"/>
      <c r="J15" s="84"/>
      <c r="K15" s="84"/>
      <c r="L15" s="84"/>
      <c r="M15" s="84"/>
      <c r="N15" s="84"/>
      <c r="O15" s="86"/>
    </row>
    <row r="16" spans="1:15" x14ac:dyDescent="0.25">
      <c r="A16" s="80"/>
      <c r="B16" s="81"/>
      <c r="C16" s="60"/>
      <c r="D16" s="83">
        <f t="shared" si="0"/>
        <v>0</v>
      </c>
      <c r="E16" s="84"/>
      <c r="F16" s="84"/>
      <c r="G16" s="84"/>
      <c r="H16" s="84"/>
      <c r="I16" s="84"/>
      <c r="J16" s="84"/>
      <c r="K16" s="84"/>
      <c r="L16" s="84"/>
      <c r="M16" s="84"/>
      <c r="N16" s="84"/>
      <c r="O16" s="86"/>
    </row>
    <row r="17" spans="1:15" x14ac:dyDescent="0.25">
      <c r="A17" s="80"/>
      <c r="B17" s="81"/>
      <c r="C17" s="60"/>
      <c r="D17" s="83">
        <f t="shared" si="0"/>
        <v>0</v>
      </c>
      <c r="E17" s="84"/>
      <c r="F17" s="84"/>
      <c r="G17" s="84"/>
      <c r="H17" s="84"/>
      <c r="I17" s="84"/>
      <c r="J17" s="84"/>
      <c r="K17" s="84"/>
      <c r="L17" s="84"/>
      <c r="M17" s="84"/>
      <c r="N17" s="84"/>
      <c r="O17" s="86"/>
    </row>
    <row r="18" spans="1:15" ht="13.8" thickBot="1" x14ac:dyDescent="0.3">
      <c r="A18" s="80"/>
      <c r="B18" s="81"/>
      <c r="C18" s="60"/>
      <c r="D18" s="83"/>
      <c r="E18" s="84"/>
      <c r="F18" s="84"/>
      <c r="G18" s="84"/>
      <c r="H18" s="84"/>
      <c r="I18" s="19"/>
      <c r="J18" s="19"/>
      <c r="K18" s="19"/>
      <c r="L18" s="19"/>
      <c r="M18" s="19"/>
      <c r="N18" s="85"/>
      <c r="O18" s="86"/>
    </row>
    <row r="19" spans="1:15" ht="16.2" thickBot="1" x14ac:dyDescent="0.3">
      <c r="A19" s="87"/>
      <c r="B19" s="88"/>
      <c r="C19" s="89" t="s">
        <v>17</v>
      </c>
      <c r="D19" s="90">
        <f t="shared" ref="D19:O19" si="1">SUM(D6:D18)</f>
        <v>0</v>
      </c>
      <c r="E19" s="91">
        <f t="shared" si="1"/>
        <v>0</v>
      </c>
      <c r="F19" s="91">
        <f t="shared" si="1"/>
        <v>0</v>
      </c>
      <c r="G19" s="91">
        <f t="shared" si="1"/>
        <v>0</v>
      </c>
      <c r="H19" s="91">
        <f t="shared" si="1"/>
        <v>0</v>
      </c>
      <c r="I19" s="91">
        <f t="shared" si="1"/>
        <v>0</v>
      </c>
      <c r="J19" s="91">
        <f t="shared" si="1"/>
        <v>0</v>
      </c>
      <c r="K19" s="91">
        <f t="shared" si="1"/>
        <v>0</v>
      </c>
      <c r="L19" s="91">
        <f t="shared" si="1"/>
        <v>0</v>
      </c>
      <c r="M19" s="91">
        <f t="shared" si="1"/>
        <v>0</v>
      </c>
      <c r="N19" s="91">
        <f t="shared" si="1"/>
        <v>0</v>
      </c>
      <c r="O19" s="92">
        <f t="shared" si="1"/>
        <v>0</v>
      </c>
    </row>
    <row r="20" spans="1:15" ht="12.75" customHeight="1" x14ac:dyDescent="0.25">
      <c r="A20" s="87"/>
      <c r="B20" s="93"/>
      <c r="C20" s="93"/>
      <c r="D20" s="236" t="s">
        <v>18</v>
      </c>
      <c r="E20" s="236" t="s">
        <v>19</v>
      </c>
      <c r="F20" s="236" t="s">
        <v>19</v>
      </c>
      <c r="G20" s="237" t="s">
        <v>20</v>
      </c>
      <c r="H20" s="93"/>
      <c r="N20" s="93"/>
      <c r="O20" s="103"/>
    </row>
    <row r="21" spans="1:15" ht="13.8" thickBot="1" x14ac:dyDescent="0.3">
      <c r="A21" s="97"/>
      <c r="B21" s="72"/>
      <c r="C21" s="72" t="s">
        <v>71</v>
      </c>
      <c r="D21" s="98">
        <f>SUM(E19:O19)-D19</f>
        <v>0</v>
      </c>
      <c r="E21" s="253" t="str">
        <f>IF(D21=0,"","ERROR - figures do not add across")</f>
        <v/>
      </c>
      <c r="F21" s="72"/>
      <c r="G21" s="72"/>
      <c r="H21" s="72"/>
      <c r="I21" s="72"/>
      <c r="J21" s="72"/>
      <c r="K21" s="72"/>
      <c r="L21" s="72"/>
      <c r="M21" s="72"/>
      <c r="N21" s="72"/>
      <c r="O21" s="99"/>
    </row>
    <row r="23" spans="1:15" ht="13.8" thickBot="1" x14ac:dyDescent="0.3"/>
    <row r="24" spans="1:15" ht="18" thickBot="1" x14ac:dyDescent="0.3">
      <c r="A24" s="100" t="s">
        <v>21</v>
      </c>
      <c r="B24" s="101"/>
      <c r="C24" s="61"/>
      <c r="D24" s="68"/>
      <c r="E24" s="68"/>
      <c r="F24" s="68"/>
      <c r="G24" s="68"/>
      <c r="H24" s="68"/>
      <c r="I24" s="68"/>
      <c r="J24" s="68"/>
      <c r="K24" s="68"/>
      <c r="L24" s="68"/>
      <c r="M24" s="68"/>
      <c r="N24" s="239" t="s">
        <v>10</v>
      </c>
      <c r="O24" s="70">
        <f>O3</f>
        <v>40906</v>
      </c>
    </row>
    <row r="25" spans="1:15" ht="13.8" thickBot="1" x14ac:dyDescent="0.3">
      <c r="A25" s="102"/>
      <c r="B25" s="93"/>
      <c r="C25" s="93"/>
      <c r="D25" s="93"/>
      <c r="E25" s="93"/>
      <c r="F25" s="93"/>
      <c r="G25" s="93"/>
      <c r="H25" s="93"/>
      <c r="I25" s="93"/>
      <c r="J25" s="93"/>
      <c r="K25" s="93"/>
      <c r="L25" s="93"/>
      <c r="M25" s="93"/>
      <c r="N25" s="93"/>
      <c r="O25" s="103"/>
    </row>
    <row r="26" spans="1:15" s="79" customFormat="1" ht="27" customHeight="1" thickBot="1" x14ac:dyDescent="0.3">
      <c r="A26" s="104" t="s">
        <v>12</v>
      </c>
      <c r="B26" s="75" t="s">
        <v>68</v>
      </c>
      <c r="C26" s="105" t="s">
        <v>123</v>
      </c>
      <c r="D26" s="106" t="s">
        <v>63</v>
      </c>
      <c r="E26" s="107" t="str">
        <f>'Month 8'!E26</f>
        <v>PAYE/NI</v>
      </c>
      <c r="F26" s="107" t="str">
        <f>'Month 8'!F26</f>
        <v>Net Wages</v>
      </c>
      <c r="G26" s="107" t="str">
        <f>'Month 8'!G26</f>
        <v>Dividends</v>
      </c>
      <c r="H26" s="107" t="str">
        <f>'Month 8'!H26</f>
        <v>Company Dep A/C</v>
      </c>
      <c r="I26" s="107" t="str">
        <f>'Month 8'!I26</f>
        <v>Company Pension</v>
      </c>
      <c r="J26" s="107" t="str">
        <f>'Month 8'!J26</f>
        <v>Motor &amp; Travel</v>
      </c>
      <c r="K26" s="107" t="str">
        <f>'Month 8'!K26</f>
        <v>Standing Orders</v>
      </c>
      <c r="L26" s="107" t="str">
        <f>'Month 8'!L26</f>
        <v>Petty Cash</v>
      </c>
      <c r="M26" s="107" t="s">
        <v>143</v>
      </c>
      <c r="N26" s="107" t="str">
        <f>'Month 8'!N26</f>
        <v>Sundries</v>
      </c>
      <c r="O26" s="78" t="s">
        <v>142</v>
      </c>
    </row>
    <row r="27" spans="1:15" x14ac:dyDescent="0.25">
      <c r="A27" s="80"/>
      <c r="B27" s="81"/>
      <c r="C27" s="60"/>
      <c r="D27" s="83">
        <f t="shared" ref="D27:D40" si="2">SUM(E27:O27)</f>
        <v>0</v>
      </c>
      <c r="E27" s="84"/>
      <c r="F27" s="84"/>
      <c r="G27" s="84"/>
      <c r="H27" s="84"/>
      <c r="I27" s="84"/>
      <c r="J27" s="84"/>
      <c r="K27" s="84"/>
      <c r="L27" s="84"/>
      <c r="M27" s="84"/>
      <c r="N27" s="84"/>
      <c r="O27" s="86"/>
    </row>
    <row r="28" spans="1:15" x14ac:dyDescent="0.25">
      <c r="A28" s="80"/>
      <c r="B28" s="81"/>
      <c r="C28" s="60"/>
      <c r="D28" s="83">
        <f t="shared" si="2"/>
        <v>0</v>
      </c>
      <c r="E28" s="84"/>
      <c r="F28" s="84"/>
      <c r="G28" s="84"/>
      <c r="H28" s="84"/>
      <c r="I28" s="84"/>
      <c r="J28" s="84"/>
      <c r="K28" s="84"/>
      <c r="L28" s="84"/>
      <c r="M28" s="84"/>
      <c r="N28" s="84"/>
      <c r="O28" s="86"/>
    </row>
    <row r="29" spans="1:15" x14ac:dyDescent="0.25">
      <c r="A29" s="80"/>
      <c r="B29" s="81"/>
      <c r="C29" s="60"/>
      <c r="D29" s="83">
        <f t="shared" si="2"/>
        <v>0</v>
      </c>
      <c r="E29" s="84"/>
      <c r="F29" s="84"/>
      <c r="G29" s="84"/>
      <c r="H29" s="84"/>
      <c r="I29" s="84"/>
      <c r="J29" s="84"/>
      <c r="K29" s="84"/>
      <c r="L29" s="84"/>
      <c r="M29" s="84"/>
      <c r="N29" s="84"/>
      <c r="O29" s="86"/>
    </row>
    <row r="30" spans="1:15" x14ac:dyDescent="0.25">
      <c r="A30" s="80"/>
      <c r="B30" s="81"/>
      <c r="C30" s="60"/>
      <c r="D30" s="83">
        <f t="shared" si="2"/>
        <v>0</v>
      </c>
      <c r="E30" s="84"/>
      <c r="F30" s="84"/>
      <c r="G30" s="84"/>
      <c r="H30" s="84"/>
      <c r="I30" s="84"/>
      <c r="J30" s="84"/>
      <c r="K30" s="84"/>
      <c r="L30" s="84"/>
      <c r="M30" s="84"/>
      <c r="N30" s="84"/>
      <c r="O30" s="86"/>
    </row>
    <row r="31" spans="1:15" x14ac:dyDescent="0.25">
      <c r="A31" s="80"/>
      <c r="B31" s="81"/>
      <c r="C31" s="60"/>
      <c r="D31" s="83">
        <f t="shared" si="2"/>
        <v>0</v>
      </c>
      <c r="E31" s="84"/>
      <c r="F31" s="84"/>
      <c r="G31" s="84"/>
      <c r="H31" s="84"/>
      <c r="I31" s="84"/>
      <c r="J31" s="84"/>
      <c r="K31" s="84"/>
      <c r="L31" s="84"/>
      <c r="M31" s="84"/>
      <c r="N31" s="84"/>
      <c r="O31" s="86"/>
    </row>
    <row r="32" spans="1:15" x14ac:dyDescent="0.25">
      <c r="A32" s="80"/>
      <c r="B32" s="81"/>
      <c r="C32" s="60"/>
      <c r="D32" s="83">
        <f t="shared" si="2"/>
        <v>0</v>
      </c>
      <c r="E32" s="84"/>
      <c r="F32" s="84"/>
      <c r="G32" s="84"/>
      <c r="H32" s="84"/>
      <c r="I32" s="84"/>
      <c r="J32" s="84"/>
      <c r="K32" s="84"/>
      <c r="L32" s="84"/>
      <c r="M32" s="84"/>
      <c r="N32" s="84"/>
      <c r="O32" s="86"/>
    </row>
    <row r="33" spans="1:15" x14ac:dyDescent="0.25">
      <c r="A33" s="80"/>
      <c r="B33" s="81"/>
      <c r="C33" s="60"/>
      <c r="D33" s="83">
        <f t="shared" si="2"/>
        <v>0</v>
      </c>
      <c r="E33" s="84"/>
      <c r="F33" s="84"/>
      <c r="G33" s="84"/>
      <c r="H33" s="84"/>
      <c r="I33" s="84"/>
      <c r="J33" s="84"/>
      <c r="K33" s="84"/>
      <c r="L33" s="84"/>
      <c r="M33" s="84"/>
      <c r="N33" s="84"/>
      <c r="O33" s="86"/>
    </row>
    <row r="34" spans="1:15" x14ac:dyDescent="0.25">
      <c r="A34" s="80"/>
      <c r="B34" s="81"/>
      <c r="C34" s="60"/>
      <c r="D34" s="83">
        <f t="shared" si="2"/>
        <v>0</v>
      </c>
      <c r="E34" s="84"/>
      <c r="F34" s="84"/>
      <c r="G34" s="84"/>
      <c r="H34" s="84"/>
      <c r="I34" s="84"/>
      <c r="J34" s="84"/>
      <c r="K34" s="84"/>
      <c r="L34" s="84"/>
      <c r="M34" s="84"/>
      <c r="N34" s="84"/>
      <c r="O34" s="86"/>
    </row>
    <row r="35" spans="1:15" x14ac:dyDescent="0.25">
      <c r="A35" s="80"/>
      <c r="B35" s="81"/>
      <c r="C35" s="60"/>
      <c r="D35" s="83">
        <f t="shared" si="2"/>
        <v>0</v>
      </c>
      <c r="E35" s="84"/>
      <c r="F35" s="84"/>
      <c r="G35" s="84"/>
      <c r="H35" s="84"/>
      <c r="I35" s="84"/>
      <c r="J35" s="84"/>
      <c r="K35" s="84"/>
      <c r="L35" s="84"/>
      <c r="M35" s="84"/>
      <c r="N35" s="84"/>
      <c r="O35" s="86"/>
    </row>
    <row r="36" spans="1:15" x14ac:dyDescent="0.25">
      <c r="A36" s="80"/>
      <c r="B36" s="81"/>
      <c r="C36" s="60"/>
      <c r="D36" s="83">
        <f t="shared" si="2"/>
        <v>0</v>
      </c>
      <c r="E36" s="84"/>
      <c r="F36" s="84"/>
      <c r="G36" s="84"/>
      <c r="H36" s="84"/>
      <c r="I36" s="84"/>
      <c r="J36" s="84"/>
      <c r="K36" s="84"/>
      <c r="L36" s="84"/>
      <c r="M36" s="84"/>
      <c r="N36" s="84"/>
      <c r="O36" s="86"/>
    </row>
    <row r="37" spans="1:15" x14ac:dyDescent="0.25">
      <c r="A37" s="80"/>
      <c r="B37" s="81"/>
      <c r="C37" s="60"/>
      <c r="D37" s="83">
        <f t="shared" si="2"/>
        <v>0</v>
      </c>
      <c r="E37" s="84"/>
      <c r="F37" s="84"/>
      <c r="G37" s="84"/>
      <c r="H37" s="84"/>
      <c r="I37" s="84"/>
      <c r="J37" s="84"/>
      <c r="K37" s="84"/>
      <c r="L37" s="84"/>
      <c r="M37" s="84"/>
      <c r="N37" s="84"/>
      <c r="O37" s="86"/>
    </row>
    <row r="38" spans="1:15" x14ac:dyDescent="0.25">
      <c r="A38" s="80"/>
      <c r="B38" s="81"/>
      <c r="C38" s="60"/>
      <c r="D38" s="83">
        <f t="shared" si="2"/>
        <v>0</v>
      </c>
      <c r="E38" s="84"/>
      <c r="F38" s="84"/>
      <c r="G38" s="84"/>
      <c r="H38" s="84"/>
      <c r="I38" s="84"/>
      <c r="J38" s="84"/>
      <c r="K38" s="84"/>
      <c r="L38" s="84"/>
      <c r="M38" s="84"/>
      <c r="N38" s="84"/>
      <c r="O38" s="86"/>
    </row>
    <row r="39" spans="1:15" x14ac:dyDescent="0.25">
      <c r="A39" s="80"/>
      <c r="B39" s="81"/>
      <c r="C39" s="60"/>
      <c r="D39" s="83">
        <f t="shared" si="2"/>
        <v>0</v>
      </c>
      <c r="E39" s="84"/>
      <c r="F39" s="84"/>
      <c r="G39" s="84"/>
      <c r="H39" s="84"/>
      <c r="I39" s="84"/>
      <c r="J39" s="84"/>
      <c r="K39" s="84"/>
      <c r="L39" s="84"/>
      <c r="M39" s="84"/>
      <c r="N39" s="84"/>
      <c r="O39" s="86"/>
    </row>
    <row r="40" spans="1:15" x14ac:dyDescent="0.25">
      <c r="A40" s="80"/>
      <c r="B40" s="81"/>
      <c r="C40" s="60"/>
      <c r="D40" s="83">
        <f t="shared" si="2"/>
        <v>0</v>
      </c>
      <c r="E40" s="84"/>
      <c r="F40" s="84"/>
      <c r="G40" s="84"/>
      <c r="H40" s="84"/>
      <c r="I40" s="84"/>
      <c r="J40" s="84"/>
      <c r="K40" s="84"/>
      <c r="L40" s="84"/>
      <c r="M40" s="84"/>
      <c r="N40" s="84"/>
      <c r="O40" s="86"/>
    </row>
    <row r="41" spans="1:15" ht="13.8" thickBot="1" x14ac:dyDescent="0.3">
      <c r="A41" s="80"/>
      <c r="B41" s="81"/>
      <c r="C41" s="60"/>
      <c r="D41" s="83"/>
      <c r="E41" s="84"/>
      <c r="F41" s="84"/>
      <c r="G41" s="84"/>
      <c r="H41" s="84"/>
      <c r="I41" s="84"/>
      <c r="J41" s="84"/>
      <c r="K41" s="84"/>
      <c r="L41" s="84"/>
      <c r="M41" s="84"/>
      <c r="N41" s="84"/>
      <c r="O41" s="86"/>
    </row>
    <row r="42" spans="1:15" ht="16.2" thickBot="1" x14ac:dyDescent="0.3">
      <c r="A42" s="87"/>
      <c r="B42" s="88"/>
      <c r="C42" s="89" t="s">
        <v>17</v>
      </c>
      <c r="D42" s="90">
        <f t="shared" ref="D42:O42" si="3">SUM(D27:D41)</f>
        <v>0</v>
      </c>
      <c r="E42" s="91">
        <f t="shared" si="3"/>
        <v>0</v>
      </c>
      <c r="F42" s="91">
        <f t="shared" si="3"/>
        <v>0</v>
      </c>
      <c r="G42" s="91">
        <f t="shared" si="3"/>
        <v>0</v>
      </c>
      <c r="H42" s="91">
        <f t="shared" si="3"/>
        <v>0</v>
      </c>
      <c r="I42" s="91">
        <f t="shared" si="3"/>
        <v>0</v>
      </c>
      <c r="J42" s="91">
        <f t="shared" si="3"/>
        <v>0</v>
      </c>
      <c r="K42" s="91">
        <f>SUM(K27:K41)</f>
        <v>0</v>
      </c>
      <c r="L42" s="91">
        <f>SUM(L27:L41)</f>
        <v>0</v>
      </c>
      <c r="M42" s="91">
        <f t="shared" si="3"/>
        <v>0</v>
      </c>
      <c r="N42" s="91">
        <f t="shared" si="3"/>
        <v>0</v>
      </c>
      <c r="O42" s="92">
        <f t="shared" si="3"/>
        <v>0</v>
      </c>
    </row>
    <row r="43" spans="1:15" ht="13.8" x14ac:dyDescent="0.25">
      <c r="A43" s="87"/>
      <c r="B43" s="93"/>
      <c r="C43" s="93"/>
      <c r="D43" s="94" t="s">
        <v>26</v>
      </c>
      <c r="E43" s="93"/>
      <c r="F43" s="93"/>
      <c r="G43" s="93"/>
      <c r="H43" s="93"/>
      <c r="I43" s="93"/>
      <c r="J43" s="93"/>
      <c r="K43" s="93"/>
      <c r="L43" s="93"/>
      <c r="M43" s="93"/>
      <c r="N43" s="93"/>
      <c r="O43" s="108" t="s">
        <v>27</v>
      </c>
    </row>
    <row r="44" spans="1:15" ht="13.8" thickBot="1" x14ac:dyDescent="0.3">
      <c r="A44" s="97"/>
      <c r="B44" s="72"/>
      <c r="C44" s="72" t="s">
        <v>71</v>
      </c>
      <c r="D44" s="98">
        <f>SUM(E42:O42)-D42</f>
        <v>0</v>
      </c>
      <c r="E44" s="253" t="str">
        <f>IF(D44=0,"","ERROR - figures do not add across")</f>
        <v/>
      </c>
      <c r="F44" s="72"/>
      <c r="G44" s="72"/>
      <c r="H44" s="72"/>
      <c r="I44" s="72"/>
      <c r="J44" s="72"/>
      <c r="K44" s="72"/>
      <c r="L44" s="72"/>
      <c r="M44" s="72"/>
      <c r="N44" s="72"/>
      <c r="O44" s="99"/>
    </row>
    <row r="46" spans="1:15" ht="13.8" thickBot="1" x14ac:dyDescent="0.3"/>
    <row r="47" spans="1:15" ht="18" thickBot="1" x14ac:dyDescent="0.3">
      <c r="A47" s="109" t="s">
        <v>28</v>
      </c>
      <c r="B47" s="61"/>
      <c r="C47" s="61"/>
      <c r="D47" s="110"/>
      <c r="E47" s="239" t="s">
        <v>10</v>
      </c>
      <c r="F47" s="70">
        <f>O3</f>
        <v>40906</v>
      </c>
      <c r="H47" s="109" t="s">
        <v>132</v>
      </c>
      <c r="I47" s="61"/>
      <c r="J47" s="61"/>
      <c r="K47" s="68"/>
      <c r="L47" s="68"/>
      <c r="M47" s="68"/>
      <c r="N47" s="239" t="s">
        <v>10</v>
      </c>
      <c r="O47" s="70">
        <f>F47</f>
        <v>40906</v>
      </c>
    </row>
    <row r="48" spans="1:15" x14ac:dyDescent="0.25">
      <c r="A48" s="102"/>
      <c r="B48" s="93"/>
      <c r="C48" s="93"/>
      <c r="D48" s="93"/>
      <c r="E48" s="93"/>
      <c r="F48" s="103"/>
      <c r="H48" s="102"/>
      <c r="I48" s="93"/>
      <c r="J48" s="93"/>
      <c r="K48" s="93"/>
      <c r="L48" s="93"/>
      <c r="M48" s="93"/>
      <c r="N48" s="93"/>
      <c r="O48" s="103"/>
    </row>
    <row r="49" spans="1:15" x14ac:dyDescent="0.25">
      <c r="A49" s="111" t="s">
        <v>29</v>
      </c>
      <c r="B49" s="93"/>
      <c r="C49" s="93"/>
      <c r="D49" s="93"/>
      <c r="E49" s="83">
        <f>'Month 8'!E53</f>
        <v>0</v>
      </c>
      <c r="F49" s="103"/>
      <c r="H49" s="112"/>
      <c r="I49" s="93"/>
      <c r="J49" s="93"/>
      <c r="K49" s="93"/>
      <c r="L49" s="93"/>
      <c r="M49" s="93"/>
      <c r="N49" s="93"/>
      <c r="O49" s="103"/>
    </row>
    <row r="50" spans="1:15" ht="14.4" thickBot="1" x14ac:dyDescent="0.3">
      <c r="A50" s="111" t="s">
        <v>30</v>
      </c>
      <c r="B50" s="93"/>
      <c r="C50" s="94"/>
      <c r="D50" s="94" t="s">
        <v>18</v>
      </c>
      <c r="E50" s="113">
        <f>+D19</f>
        <v>0</v>
      </c>
      <c r="F50" s="103"/>
      <c r="H50" s="112" t="s">
        <v>29</v>
      </c>
      <c r="I50" s="93"/>
      <c r="J50" s="93"/>
      <c r="K50" s="93"/>
      <c r="L50" s="93"/>
      <c r="N50" s="114">
        <f>'Month 8'!N56</f>
        <v>0</v>
      </c>
      <c r="O50" s="103"/>
    </row>
    <row r="51" spans="1:15" ht="13.8" x14ac:dyDescent="0.25">
      <c r="A51" s="111"/>
      <c r="B51" s="93"/>
      <c r="C51" s="94"/>
      <c r="D51" s="94"/>
      <c r="E51" s="83">
        <f>SUM(E49:E50)</f>
        <v>0</v>
      </c>
      <c r="F51" s="103"/>
      <c r="H51" s="112"/>
      <c r="I51" s="93"/>
      <c r="J51" s="93"/>
      <c r="K51" s="93"/>
      <c r="L51" s="93"/>
      <c r="N51" s="114"/>
      <c r="O51" s="103"/>
    </row>
    <row r="52" spans="1:15" ht="14.4" thickBot="1" x14ac:dyDescent="0.3">
      <c r="A52" s="111" t="s">
        <v>59</v>
      </c>
      <c r="B52" s="93"/>
      <c r="C52" s="94"/>
      <c r="D52" s="94" t="s">
        <v>26</v>
      </c>
      <c r="E52" s="83">
        <f>+D42</f>
        <v>0</v>
      </c>
      <c r="F52" s="103"/>
      <c r="H52" s="112" t="s">
        <v>133</v>
      </c>
      <c r="I52" s="93"/>
      <c r="J52" s="93"/>
      <c r="K52" s="93"/>
      <c r="L52" s="93"/>
      <c r="N52" s="114">
        <f>L42</f>
        <v>0</v>
      </c>
      <c r="O52" s="103"/>
    </row>
    <row r="53" spans="1:15" ht="14.4" thickBot="1" x14ac:dyDescent="0.3">
      <c r="A53" s="111" t="s">
        <v>31</v>
      </c>
      <c r="B53" s="94"/>
      <c r="C53" s="94"/>
      <c r="D53" s="108" t="s">
        <v>32</v>
      </c>
      <c r="E53" s="115">
        <f>SUM(E51-E52)</f>
        <v>0</v>
      </c>
      <c r="F53" s="103"/>
      <c r="H53" s="112"/>
      <c r="I53" s="93"/>
      <c r="J53" s="93"/>
      <c r="K53" s="93"/>
      <c r="L53" s="93"/>
      <c r="N53" s="114"/>
      <c r="O53" s="103"/>
    </row>
    <row r="54" spans="1:15" ht="13.8" thickBot="1" x14ac:dyDescent="0.3">
      <c r="A54" s="102"/>
      <c r="B54" s="93"/>
      <c r="C54" s="93"/>
      <c r="D54" s="93"/>
      <c r="E54" s="93"/>
      <c r="F54" s="103"/>
      <c r="H54" s="112" t="s">
        <v>134</v>
      </c>
      <c r="I54" s="93"/>
      <c r="J54" s="93"/>
      <c r="K54" s="93"/>
      <c r="L54" s="93"/>
      <c r="N54" s="114">
        <f>-D88</f>
        <v>0</v>
      </c>
      <c r="O54" s="103"/>
    </row>
    <row r="55" spans="1:15" ht="18" thickBot="1" x14ac:dyDescent="0.3">
      <c r="A55" s="116" t="s">
        <v>33</v>
      </c>
      <c r="B55" s="117"/>
      <c r="C55" s="61"/>
      <c r="D55" s="118"/>
      <c r="E55" s="93"/>
      <c r="F55" s="103"/>
      <c r="H55" s="112"/>
      <c r="I55" s="93"/>
      <c r="J55" s="93"/>
      <c r="K55" s="93"/>
      <c r="L55" s="93"/>
      <c r="N55" s="114"/>
      <c r="O55" s="103"/>
    </row>
    <row r="56" spans="1:15" ht="13.8" thickBot="1" x14ac:dyDescent="0.3">
      <c r="A56" s="102"/>
      <c r="B56" s="93"/>
      <c r="C56" s="93"/>
      <c r="D56" s="93"/>
      <c r="E56" s="93"/>
      <c r="F56" s="103"/>
      <c r="H56" s="112" t="s">
        <v>31</v>
      </c>
      <c r="I56" s="93"/>
      <c r="J56" s="93"/>
      <c r="K56" s="93"/>
      <c r="L56" s="93"/>
      <c r="N56" s="119">
        <f>SUM(N50:N55)</f>
        <v>0</v>
      </c>
      <c r="O56" s="103"/>
    </row>
    <row r="57" spans="1:15" ht="13.8" thickBot="1" x14ac:dyDescent="0.3">
      <c r="A57" s="111" t="s">
        <v>34</v>
      </c>
      <c r="B57" s="93"/>
      <c r="C57" s="120"/>
      <c r="D57" s="121"/>
      <c r="E57" s="122"/>
      <c r="F57" s="103"/>
      <c r="H57" s="102"/>
      <c r="I57" s="93"/>
      <c r="J57" s="93"/>
      <c r="K57" s="93"/>
      <c r="L57" s="93"/>
      <c r="M57" s="93"/>
      <c r="N57" s="93"/>
      <c r="O57" s="103"/>
    </row>
    <row r="58" spans="1:15" x14ac:dyDescent="0.25">
      <c r="A58" s="111"/>
      <c r="B58" s="93"/>
      <c r="C58" s="120"/>
      <c r="D58" s="121"/>
      <c r="E58" s="83"/>
      <c r="F58" s="103"/>
      <c r="H58" s="102"/>
      <c r="I58" s="93"/>
      <c r="J58" s="93"/>
      <c r="K58" s="93"/>
      <c r="L58" s="93"/>
      <c r="M58" s="93"/>
      <c r="N58" s="93"/>
      <c r="O58" s="103"/>
    </row>
    <row r="59" spans="1:15" x14ac:dyDescent="0.25">
      <c r="A59" s="111" t="s">
        <v>35</v>
      </c>
      <c r="B59" s="93"/>
      <c r="C59" s="120"/>
      <c r="D59" s="123"/>
      <c r="E59" s="83"/>
      <c r="F59" s="103"/>
      <c r="H59" s="102"/>
      <c r="I59" s="93"/>
      <c r="J59" s="93"/>
      <c r="K59" s="93"/>
      <c r="L59" s="93"/>
      <c r="M59" s="93"/>
      <c r="N59" s="93"/>
      <c r="O59" s="103"/>
    </row>
    <row r="60" spans="1:15" x14ac:dyDescent="0.25">
      <c r="A60" s="124"/>
      <c r="B60" s="52"/>
      <c r="C60" s="125"/>
      <c r="D60" s="126"/>
      <c r="E60" s="83"/>
      <c r="F60" s="103"/>
      <c r="H60" s="102"/>
      <c r="I60" s="93"/>
      <c r="J60" s="93"/>
      <c r="K60" s="93"/>
      <c r="L60" s="93"/>
      <c r="M60" s="93"/>
      <c r="N60" s="93"/>
      <c r="O60" s="103"/>
    </row>
    <row r="61" spans="1:15" ht="13.8" thickBot="1" x14ac:dyDescent="0.3">
      <c r="A61" s="124"/>
      <c r="B61" s="52"/>
      <c r="C61" s="125"/>
      <c r="D61" s="126"/>
      <c r="E61" s="127">
        <f>SUM(D59:D61)</f>
        <v>0</v>
      </c>
      <c r="F61" s="103"/>
      <c r="H61" s="102"/>
      <c r="I61" s="93"/>
      <c r="J61" s="93"/>
      <c r="K61" s="93"/>
      <c r="L61" s="93"/>
      <c r="M61" s="93"/>
      <c r="N61" s="93"/>
      <c r="O61" s="103"/>
    </row>
    <row r="62" spans="1:15" x14ac:dyDescent="0.25">
      <c r="A62" s="111"/>
      <c r="B62" s="93"/>
      <c r="C62" s="120"/>
      <c r="D62" s="123"/>
      <c r="E62" s="83">
        <f>SUM(E57:E61)</f>
        <v>0</v>
      </c>
      <c r="F62" s="103"/>
      <c r="H62" s="102"/>
      <c r="I62" s="93"/>
      <c r="J62" s="93"/>
      <c r="K62" s="93"/>
      <c r="L62" s="93"/>
      <c r="M62" s="93"/>
      <c r="N62" s="93"/>
      <c r="O62" s="103"/>
    </row>
    <row r="63" spans="1:15" x14ac:dyDescent="0.25">
      <c r="A63" s="111" t="s">
        <v>36</v>
      </c>
      <c r="B63" s="93"/>
      <c r="C63" s="128"/>
      <c r="D63" s="129"/>
      <c r="E63" s="83"/>
      <c r="F63" s="103"/>
      <c r="H63" s="102"/>
      <c r="I63" s="93"/>
      <c r="J63" s="93"/>
      <c r="K63" s="93"/>
      <c r="L63" s="93"/>
      <c r="M63" s="93"/>
      <c r="N63" s="93"/>
      <c r="O63" s="103"/>
    </row>
    <row r="64" spans="1:15" x14ac:dyDescent="0.25">
      <c r="A64" s="124"/>
      <c r="B64" s="52"/>
      <c r="C64" s="60"/>
      <c r="D64" s="130"/>
      <c r="E64" s="83"/>
      <c r="F64" s="103"/>
      <c r="H64" s="102"/>
      <c r="I64" s="93"/>
      <c r="J64" s="93"/>
      <c r="K64" s="93"/>
      <c r="L64" s="93"/>
      <c r="M64" s="93"/>
      <c r="N64" s="93"/>
      <c r="O64" s="103"/>
    </row>
    <row r="65" spans="1:15" x14ac:dyDescent="0.25">
      <c r="A65" s="124"/>
      <c r="B65" s="52"/>
      <c r="C65" s="60"/>
      <c r="D65" s="130"/>
      <c r="E65" s="83"/>
      <c r="F65" s="103"/>
      <c r="H65" s="102"/>
      <c r="I65" s="93"/>
      <c r="J65" s="93"/>
      <c r="K65" s="93"/>
      <c r="L65" s="93"/>
      <c r="M65" s="93"/>
      <c r="N65" s="93"/>
      <c r="O65" s="103"/>
    </row>
    <row r="66" spans="1:15" ht="13.8" thickBot="1" x14ac:dyDescent="0.3">
      <c r="A66" s="124"/>
      <c r="B66" s="52"/>
      <c r="C66" s="125"/>
      <c r="D66" s="126"/>
      <c r="E66" s="83">
        <f>SUM(D63:D66)</f>
        <v>0</v>
      </c>
      <c r="F66" s="103"/>
      <c r="H66" s="102"/>
      <c r="I66" s="93"/>
      <c r="J66" s="93"/>
      <c r="K66" s="93"/>
      <c r="L66" s="93"/>
      <c r="M66" s="93"/>
      <c r="N66" s="93"/>
      <c r="O66" s="103"/>
    </row>
    <row r="67" spans="1:15" ht="16.2" thickBot="1" x14ac:dyDescent="0.3">
      <c r="A67" s="131" t="s">
        <v>37</v>
      </c>
      <c r="B67" s="132"/>
      <c r="C67" s="132"/>
      <c r="D67" s="132" t="s">
        <v>32</v>
      </c>
      <c r="E67" s="115">
        <f>SUM(E62-E66)</f>
        <v>0</v>
      </c>
      <c r="F67" s="99"/>
      <c r="H67" s="133"/>
      <c r="I67" s="72"/>
      <c r="J67" s="72"/>
      <c r="K67" s="72"/>
      <c r="L67" s="72"/>
      <c r="M67" s="72"/>
      <c r="N67" s="72"/>
      <c r="O67" s="99"/>
    </row>
    <row r="69" spans="1:15" ht="13.8" thickBot="1" x14ac:dyDescent="0.3"/>
    <row r="70" spans="1:15" ht="18" thickBot="1" x14ac:dyDescent="0.3">
      <c r="A70" s="100" t="s">
        <v>38</v>
      </c>
      <c r="B70" s="101"/>
      <c r="C70" s="61"/>
      <c r="D70" s="68"/>
      <c r="E70" s="68"/>
      <c r="F70" s="68"/>
      <c r="G70" s="68"/>
      <c r="H70" s="68"/>
      <c r="I70" s="68"/>
      <c r="J70" s="68"/>
      <c r="K70" s="68"/>
      <c r="L70" s="68"/>
      <c r="M70" s="68"/>
      <c r="N70" s="239" t="s">
        <v>10</v>
      </c>
      <c r="O70" s="70">
        <f>O3</f>
        <v>40906</v>
      </c>
    </row>
    <row r="71" spans="1:15" ht="13.8" thickBot="1" x14ac:dyDescent="0.3">
      <c r="A71" s="102"/>
      <c r="B71" s="93"/>
      <c r="C71" s="93"/>
      <c r="D71" s="93"/>
      <c r="E71" s="93"/>
      <c r="F71" s="93"/>
      <c r="G71" s="93"/>
      <c r="H71" s="93"/>
      <c r="I71" s="93"/>
      <c r="J71" s="93"/>
      <c r="K71" s="93"/>
      <c r="L71" s="93"/>
      <c r="M71" s="93"/>
      <c r="N71" s="93"/>
      <c r="O71" s="103"/>
    </row>
    <row r="72" spans="1:15" s="79" customFormat="1" ht="27" customHeight="1" thickBot="1" x14ac:dyDescent="0.3">
      <c r="A72" s="74" t="s">
        <v>12</v>
      </c>
      <c r="B72" s="75" t="s">
        <v>129</v>
      </c>
      <c r="C72" s="105" t="s">
        <v>123</v>
      </c>
      <c r="D72" s="106" t="s">
        <v>64</v>
      </c>
      <c r="E72" s="107" t="str">
        <f>'Month 8'!E72</f>
        <v>Motor &amp; Travel</v>
      </c>
      <c r="F72" s="107" t="str">
        <f>'Month 8'!F72</f>
        <v>Print, Post Stationery</v>
      </c>
      <c r="G72" s="107" t="str">
        <f>'Month 8'!G72</f>
        <v>Subsist Accom</v>
      </c>
      <c r="H72" s="107" t="str">
        <f>'Month 8'!H72</f>
        <v>Software &amp; Materials</v>
      </c>
      <c r="I72" s="77" t="str">
        <f>'Month 8'!I72</f>
        <v>Books &amp; Magazines</v>
      </c>
      <c r="J72" s="107" t="str">
        <f>'Month 8'!J72</f>
        <v>Mobile &amp; Telephone</v>
      </c>
      <c r="K72" s="107" t="str">
        <f>'Month 8'!K72</f>
        <v xml:space="preserve"> </v>
      </c>
      <c r="L72" s="107" t="str">
        <f>'Month 8'!L72</f>
        <v xml:space="preserve"> </v>
      </c>
      <c r="M72" s="107" t="str">
        <f>'Month 8'!M72</f>
        <v xml:space="preserve"> </v>
      </c>
      <c r="N72" s="107" t="str">
        <f>'Month 8'!N72</f>
        <v>Sundries</v>
      </c>
      <c r="O72" s="134" t="s">
        <v>142</v>
      </c>
    </row>
    <row r="73" spans="1:15" x14ac:dyDescent="0.25">
      <c r="A73" s="80"/>
      <c r="B73" s="81"/>
      <c r="C73" s="60"/>
      <c r="D73" s="83">
        <f t="shared" ref="D73:D86" si="4">SUM(E73:O73)</f>
        <v>0</v>
      </c>
      <c r="E73" s="84"/>
      <c r="F73" s="84"/>
      <c r="G73" s="84"/>
      <c r="H73" s="84"/>
      <c r="I73" s="84"/>
      <c r="J73" s="84"/>
      <c r="K73" s="84"/>
      <c r="L73" s="84"/>
      <c r="M73" s="84"/>
      <c r="N73" s="84"/>
      <c r="O73" s="86"/>
    </row>
    <row r="74" spans="1:15" x14ac:dyDescent="0.25">
      <c r="A74" s="80"/>
      <c r="B74" s="81"/>
      <c r="C74" s="60"/>
      <c r="D74" s="83">
        <f t="shared" si="4"/>
        <v>0</v>
      </c>
      <c r="E74" s="84"/>
      <c r="F74" s="84"/>
      <c r="G74" s="84"/>
      <c r="H74" s="84"/>
      <c r="I74" s="84"/>
      <c r="J74" s="84"/>
      <c r="K74" s="84"/>
      <c r="L74" s="84"/>
      <c r="M74" s="84"/>
      <c r="N74" s="84"/>
      <c r="O74" s="86"/>
    </row>
    <row r="75" spans="1:15" x14ac:dyDescent="0.25">
      <c r="A75" s="80"/>
      <c r="B75" s="81"/>
      <c r="C75" s="60"/>
      <c r="D75" s="83">
        <f t="shared" si="4"/>
        <v>0</v>
      </c>
      <c r="E75" s="84"/>
      <c r="F75" s="84"/>
      <c r="G75" s="84"/>
      <c r="H75" s="84"/>
      <c r="I75" s="84"/>
      <c r="J75" s="84"/>
      <c r="K75" s="84"/>
      <c r="L75" s="84"/>
      <c r="M75" s="84"/>
      <c r="N75" s="84"/>
      <c r="O75" s="86"/>
    </row>
    <row r="76" spans="1:15" x14ac:dyDescent="0.25">
      <c r="A76" s="80"/>
      <c r="B76" s="81"/>
      <c r="C76" s="60"/>
      <c r="D76" s="83">
        <f t="shared" si="4"/>
        <v>0</v>
      </c>
      <c r="E76" s="84"/>
      <c r="F76" s="84"/>
      <c r="G76" s="84"/>
      <c r="H76" s="84"/>
      <c r="I76" s="84"/>
      <c r="J76" s="84"/>
      <c r="K76" s="84"/>
      <c r="L76" s="84"/>
      <c r="M76" s="84"/>
      <c r="N76" s="84"/>
      <c r="O76" s="86"/>
    </row>
    <row r="77" spans="1:15" x14ac:dyDescent="0.25">
      <c r="A77" s="80"/>
      <c r="B77" s="81"/>
      <c r="C77" s="60"/>
      <c r="D77" s="83">
        <f t="shared" si="4"/>
        <v>0</v>
      </c>
      <c r="E77" s="84"/>
      <c r="F77" s="84"/>
      <c r="G77" s="84"/>
      <c r="H77" s="84"/>
      <c r="I77" s="84"/>
      <c r="J77" s="84"/>
      <c r="K77" s="84"/>
      <c r="L77" s="84"/>
      <c r="M77" s="84"/>
      <c r="N77" s="84"/>
      <c r="O77" s="86"/>
    </row>
    <row r="78" spans="1:15" x14ac:dyDescent="0.25">
      <c r="A78" s="80"/>
      <c r="B78" s="81"/>
      <c r="C78" s="60"/>
      <c r="D78" s="83">
        <f t="shared" si="4"/>
        <v>0</v>
      </c>
      <c r="E78" s="84"/>
      <c r="F78" s="84"/>
      <c r="G78" s="84"/>
      <c r="H78" s="84"/>
      <c r="I78" s="84"/>
      <c r="J78" s="84"/>
      <c r="K78" s="84"/>
      <c r="L78" s="84"/>
      <c r="M78" s="84"/>
      <c r="N78" s="84"/>
      <c r="O78" s="86"/>
    </row>
    <row r="79" spans="1:15" x14ac:dyDescent="0.25">
      <c r="A79" s="80"/>
      <c r="B79" s="81"/>
      <c r="C79" s="60"/>
      <c r="D79" s="83">
        <f t="shared" si="4"/>
        <v>0</v>
      </c>
      <c r="E79" s="84"/>
      <c r="F79" s="84"/>
      <c r="G79" s="84"/>
      <c r="H79" s="84"/>
      <c r="I79" s="84"/>
      <c r="J79" s="84"/>
      <c r="K79" s="84"/>
      <c r="L79" s="84"/>
      <c r="M79" s="84"/>
      <c r="N79" s="84"/>
      <c r="O79" s="86"/>
    </row>
    <row r="80" spans="1:15" x14ac:dyDescent="0.25">
      <c r="A80" s="80"/>
      <c r="B80" s="81"/>
      <c r="C80" s="60"/>
      <c r="D80" s="83">
        <f t="shared" si="4"/>
        <v>0</v>
      </c>
      <c r="E80" s="84"/>
      <c r="F80" s="84"/>
      <c r="G80" s="84"/>
      <c r="H80" s="84"/>
      <c r="I80" s="84"/>
      <c r="J80" s="84"/>
      <c r="K80" s="84"/>
      <c r="L80" s="84"/>
      <c r="M80" s="84"/>
      <c r="N80" s="84"/>
      <c r="O80" s="86"/>
    </row>
    <row r="81" spans="1:15" x14ac:dyDescent="0.25">
      <c r="A81" s="80"/>
      <c r="B81" s="81"/>
      <c r="C81" s="60"/>
      <c r="D81" s="83">
        <f t="shared" si="4"/>
        <v>0</v>
      </c>
      <c r="E81" s="84"/>
      <c r="F81" s="84"/>
      <c r="G81" s="84"/>
      <c r="H81" s="84"/>
      <c r="I81" s="84"/>
      <c r="J81" s="84"/>
      <c r="K81" s="84"/>
      <c r="L81" s="84"/>
      <c r="M81" s="84"/>
      <c r="N81" s="84"/>
      <c r="O81" s="86"/>
    </row>
    <row r="82" spans="1:15" x14ac:dyDescent="0.25">
      <c r="A82" s="80"/>
      <c r="B82" s="81"/>
      <c r="C82" s="60"/>
      <c r="D82" s="83">
        <f t="shared" si="4"/>
        <v>0</v>
      </c>
      <c r="E82" s="84"/>
      <c r="F82" s="84"/>
      <c r="G82" s="84"/>
      <c r="H82" s="84"/>
      <c r="I82" s="84"/>
      <c r="J82" s="84"/>
      <c r="K82" s="84"/>
      <c r="L82" s="84"/>
      <c r="M82" s="84"/>
      <c r="N82" s="84"/>
      <c r="O82" s="86"/>
    </row>
    <row r="83" spans="1:15" x14ac:dyDescent="0.25">
      <c r="A83" s="80"/>
      <c r="B83" s="81"/>
      <c r="C83" s="60"/>
      <c r="D83" s="83">
        <f t="shared" si="4"/>
        <v>0</v>
      </c>
      <c r="E83" s="84"/>
      <c r="F83" s="84"/>
      <c r="G83" s="84"/>
      <c r="H83" s="84"/>
      <c r="I83" s="84"/>
      <c r="J83" s="84"/>
      <c r="K83" s="84"/>
      <c r="L83" s="84"/>
      <c r="M83" s="84"/>
      <c r="N83" s="84"/>
      <c r="O83" s="86"/>
    </row>
    <row r="84" spans="1:15" x14ac:dyDescent="0.25">
      <c r="A84" s="80"/>
      <c r="B84" s="81"/>
      <c r="C84" s="60"/>
      <c r="D84" s="83">
        <f t="shared" si="4"/>
        <v>0</v>
      </c>
      <c r="E84" s="84"/>
      <c r="F84" s="84"/>
      <c r="G84" s="84"/>
      <c r="H84" s="84"/>
      <c r="I84" s="84"/>
      <c r="J84" s="84"/>
      <c r="K84" s="84"/>
      <c r="L84" s="84"/>
      <c r="M84" s="84"/>
      <c r="N84" s="84"/>
      <c r="O84" s="86"/>
    </row>
    <row r="85" spans="1:15" x14ac:dyDescent="0.25">
      <c r="A85" s="80"/>
      <c r="B85" s="81"/>
      <c r="C85" s="60"/>
      <c r="D85" s="83">
        <f t="shared" si="4"/>
        <v>0</v>
      </c>
      <c r="E85" s="84"/>
      <c r="F85" s="84"/>
      <c r="G85" s="84"/>
      <c r="H85" s="84"/>
      <c r="I85" s="84"/>
      <c r="J85" s="84"/>
      <c r="K85" s="84"/>
      <c r="L85" s="84"/>
      <c r="M85" s="84"/>
      <c r="N85" s="84"/>
      <c r="O85" s="86"/>
    </row>
    <row r="86" spans="1:15" x14ac:dyDescent="0.25">
      <c r="A86" s="135"/>
      <c r="B86" s="81"/>
      <c r="C86" s="60"/>
      <c r="D86" s="83">
        <f t="shared" si="4"/>
        <v>0</v>
      </c>
      <c r="E86" s="84"/>
      <c r="F86" s="84"/>
      <c r="G86" s="84"/>
      <c r="H86" s="84"/>
      <c r="I86" s="84"/>
      <c r="J86" s="84"/>
      <c r="K86" s="84"/>
      <c r="L86" s="84"/>
      <c r="M86" s="84"/>
      <c r="N86" s="84"/>
      <c r="O86" s="86"/>
    </row>
    <row r="87" spans="1:15" ht="13.8" thickBot="1" x14ac:dyDescent="0.3">
      <c r="A87" s="80"/>
      <c r="B87" s="81"/>
      <c r="C87" s="60"/>
      <c r="D87" s="83"/>
      <c r="E87" s="84" t="s">
        <v>11</v>
      </c>
      <c r="F87" s="84"/>
      <c r="G87" s="84"/>
      <c r="H87" s="84"/>
      <c r="I87" s="84"/>
      <c r="J87" s="84"/>
      <c r="K87" s="84"/>
      <c r="L87" s="84"/>
      <c r="M87" s="84"/>
      <c r="N87" s="84"/>
      <c r="O87" s="86"/>
    </row>
    <row r="88" spans="1:15" ht="16.2" thickBot="1" x14ac:dyDescent="0.3">
      <c r="A88" s="87"/>
      <c r="B88" s="88"/>
      <c r="C88" s="89" t="s">
        <v>17</v>
      </c>
      <c r="D88" s="90">
        <f t="shared" ref="D88:J88" si="5">SUM(D73:D87)</f>
        <v>0</v>
      </c>
      <c r="E88" s="91">
        <f t="shared" si="5"/>
        <v>0</v>
      </c>
      <c r="F88" s="91">
        <f t="shared" si="5"/>
        <v>0</v>
      </c>
      <c r="G88" s="91">
        <f t="shared" si="5"/>
        <v>0</v>
      </c>
      <c r="H88" s="91">
        <f t="shared" si="5"/>
        <v>0</v>
      </c>
      <c r="I88" s="91">
        <f t="shared" si="5"/>
        <v>0</v>
      </c>
      <c r="J88" s="91">
        <f t="shared" si="5"/>
        <v>0</v>
      </c>
      <c r="K88" s="91">
        <f>SUM(K73:K87)</f>
        <v>0</v>
      </c>
      <c r="L88" s="91">
        <f>SUM(L73:L87)</f>
        <v>0</v>
      </c>
      <c r="M88" s="91">
        <f>SUM(M73:M87)</f>
        <v>0</v>
      </c>
      <c r="N88" s="91">
        <f>SUM(N73:N87)</f>
        <v>0</v>
      </c>
      <c r="O88" s="92">
        <f>SUM(O73:O87)</f>
        <v>0</v>
      </c>
    </row>
    <row r="89" spans="1:15" ht="15.6" x14ac:dyDescent="0.25">
      <c r="A89" s="87"/>
      <c r="B89" s="93"/>
      <c r="C89" s="93"/>
      <c r="D89" s="93"/>
      <c r="E89" s="93"/>
      <c r="F89" s="93"/>
      <c r="G89" s="93"/>
      <c r="H89" s="93"/>
      <c r="I89" s="93"/>
      <c r="J89" s="93"/>
      <c r="K89" s="93"/>
      <c r="L89" s="93"/>
      <c r="M89" s="93"/>
      <c r="N89" s="93"/>
      <c r="O89" s="136" t="s">
        <v>41</v>
      </c>
    </row>
    <row r="90" spans="1:15" ht="16.2" thickBot="1" x14ac:dyDescent="0.3">
      <c r="A90" s="97"/>
      <c r="B90" s="72"/>
      <c r="C90" s="72" t="s">
        <v>71</v>
      </c>
      <c r="D90" s="98">
        <f>SUM(E88:O88)-D88</f>
        <v>0</v>
      </c>
      <c r="E90" s="253" t="str">
        <f>IF(D90=0,"","ERROR - figures do not add across")</f>
        <v/>
      </c>
      <c r="F90" s="72"/>
      <c r="G90" s="72"/>
      <c r="H90" s="72"/>
      <c r="I90" s="72"/>
      <c r="J90" s="72"/>
      <c r="K90" s="72"/>
      <c r="L90" s="72"/>
      <c r="M90" s="72"/>
      <c r="N90" s="72"/>
      <c r="O90" s="137"/>
    </row>
  </sheetData>
  <customSheetViews>
    <customSheetView guid="{93A5533C-1BF0-4CFD-B527-DBAD1AD08F71}" fitToPage="1" showRuler="0">
      <selection activeCell="B13" sqref="B13"/>
      <pageMargins left="0.59055118110236227" right="0.15748031496062992" top="0.59055118110236227" bottom="0.59055118110236227" header="0.31496062992125984" footer="0.31496062992125984"/>
      <printOptions horizontalCentered="1"/>
      <pageSetup paperSize="9" scale="58" orientation="portrait" r:id="rId1"/>
      <headerFooter alignWithMargins="0">
        <oddHeader>&amp;C&amp;A</oddHeader>
        <oddFooter>&amp;L&amp;F&amp;CPage &amp;P&amp;R&amp;D</oddFooter>
      </headerFooter>
    </customSheetView>
  </customSheetViews>
  <phoneticPr fontId="0" type="noConversion"/>
  <printOptions horizontalCentered="1"/>
  <pageMargins left="0.59055118110236227" right="0.39370078740157483" top="0.59055118110236227" bottom="0.59055118110236227" header="0.31496062992125984" footer="0.31496062992125984"/>
  <pageSetup paperSize="9" scale="59" orientation="portrait" r:id="rId2"/>
  <headerFooter alignWithMargins="0">
    <oddHeader>&amp;C&amp;A</oddHeader>
    <oddFooter>&amp;L&amp;Z&amp;F\&amp;A&amp;CPage &amp;P&amp;R&amp;D  &amp;T</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O90"/>
  <sheetViews>
    <sheetView zoomScale="85" workbookViewId="0">
      <selection activeCell="A7" sqref="A7"/>
    </sheetView>
  </sheetViews>
  <sheetFormatPr defaultColWidth="9.109375" defaultRowHeight="13.2" x14ac:dyDescent="0.25"/>
  <cols>
    <col min="1" max="1" width="10" style="66" customWidth="1"/>
    <col min="2" max="2" width="4.5546875" style="66" customWidth="1"/>
    <col min="3" max="3" width="25.6640625" style="66" customWidth="1"/>
    <col min="4" max="4" width="10.109375" style="66" customWidth="1"/>
    <col min="5" max="5" width="10" style="66" bestFit="1" customWidth="1"/>
    <col min="6" max="6" width="12.5546875" style="66" bestFit="1" customWidth="1"/>
    <col min="7" max="7" width="9.88671875" style="66" bestFit="1" customWidth="1"/>
    <col min="8" max="8" width="11.44140625" style="66" bestFit="1" customWidth="1"/>
    <col min="9" max="9" width="10.88671875" style="66" bestFit="1" customWidth="1"/>
    <col min="10" max="10" width="10.6640625" style="66" bestFit="1" customWidth="1"/>
    <col min="11" max="11" width="9.109375" style="66"/>
    <col min="12" max="12" width="7.109375" style="66" customWidth="1"/>
    <col min="13" max="13" width="8.88671875" style="66" customWidth="1"/>
    <col min="14" max="14" width="9.88671875" style="66" bestFit="1" customWidth="1"/>
    <col min="15" max="15" width="9.5546875" style="66" bestFit="1" customWidth="1"/>
    <col min="16" max="16384" width="9.109375" style="66"/>
  </cols>
  <sheetData>
    <row r="1" spans="1:15" ht="16.2" thickBot="1" x14ac:dyDescent="0.3">
      <c r="A1" s="63" t="str">
        <f>'Company Info'!B5</f>
        <v>ABC Limited</v>
      </c>
      <c r="B1" s="64"/>
      <c r="C1" s="64"/>
      <c r="D1" s="65"/>
    </row>
    <row r="2" spans="1:15" ht="13.8" thickBot="1" x14ac:dyDescent="0.3"/>
    <row r="3" spans="1:15" ht="18" thickBot="1" x14ac:dyDescent="0.3">
      <c r="A3" s="67" t="s">
        <v>9</v>
      </c>
      <c r="B3" s="61"/>
      <c r="C3" s="61"/>
      <c r="D3" s="68"/>
      <c r="E3" s="68"/>
      <c r="F3" s="68"/>
      <c r="G3" s="68"/>
      <c r="H3" s="68"/>
      <c r="I3" s="68"/>
      <c r="J3" s="68"/>
      <c r="K3" s="68"/>
      <c r="L3" s="68"/>
      <c r="M3" s="68"/>
      <c r="N3" s="239" t="s">
        <v>10</v>
      </c>
      <c r="O3" s="70">
        <f>+'Month 11'!O3-31</f>
        <v>40937</v>
      </c>
    </row>
    <row r="4" spans="1:15" ht="13.8" thickBot="1" x14ac:dyDescent="0.3">
      <c r="A4" s="71"/>
      <c r="B4" s="68"/>
      <c r="C4" s="68"/>
      <c r="D4" s="72"/>
      <c r="E4" s="72"/>
      <c r="F4" s="72"/>
      <c r="G4" s="72"/>
      <c r="H4" s="72"/>
      <c r="N4" s="68"/>
      <c r="O4" s="73"/>
    </row>
    <row r="5" spans="1:15" s="79" customFormat="1" ht="26.25" customHeight="1" thickBot="1" x14ac:dyDescent="0.3">
      <c r="A5" s="74" t="s">
        <v>12</v>
      </c>
      <c r="B5" s="75" t="s">
        <v>130</v>
      </c>
      <c r="C5" s="76" t="s">
        <v>123</v>
      </c>
      <c r="D5" s="75" t="s">
        <v>13</v>
      </c>
      <c r="E5" s="77" t="str">
        <f>'Month 9'!E5</f>
        <v>Net Sales</v>
      </c>
      <c r="F5" s="77" t="str">
        <f>'Month 9'!F5</f>
        <v>Expenses Reimbursed</v>
      </c>
      <c r="G5" s="77" t="str">
        <f>'Month 9'!G5</f>
        <v>VAT</v>
      </c>
      <c r="H5" s="77" t="str">
        <f>'Month 9'!H5</f>
        <v>Interest Received</v>
      </c>
      <c r="I5" s="77" t="str">
        <f>'Month 9'!I5</f>
        <v>Tax Refunds</v>
      </c>
      <c r="J5" s="77" t="str">
        <f>'Month 9'!J5</f>
        <v>Company Dep A/C</v>
      </c>
      <c r="K5" s="77">
        <f>'Month 9'!K5</f>
        <v>0</v>
      </c>
      <c r="L5" s="77">
        <f>'Month 9'!L5</f>
        <v>0</v>
      </c>
      <c r="M5" s="77">
        <f>'Month 9'!M5</f>
        <v>0</v>
      </c>
      <c r="N5" s="77">
        <f>'Month 9'!N5</f>
        <v>0</v>
      </c>
      <c r="O5" s="78" t="str">
        <f>'Month 9'!O5</f>
        <v>Sundries</v>
      </c>
    </row>
    <row r="6" spans="1:15" x14ac:dyDescent="0.25">
      <c r="A6" s="80"/>
      <c r="B6" s="81"/>
      <c r="C6" s="60"/>
      <c r="D6" s="83">
        <f t="shared" ref="D6:D17" si="0">SUM(E6:O6)</f>
        <v>0</v>
      </c>
      <c r="E6" s="84"/>
      <c r="F6" s="84"/>
      <c r="G6" s="84"/>
      <c r="H6" s="84"/>
      <c r="I6" s="84"/>
      <c r="J6" s="84"/>
      <c r="K6" s="84"/>
      <c r="L6" s="84"/>
      <c r="M6" s="84"/>
      <c r="N6" s="84"/>
      <c r="O6" s="86"/>
    </row>
    <row r="7" spans="1:15" x14ac:dyDescent="0.25">
      <c r="A7" s="80"/>
      <c r="B7" s="81"/>
      <c r="C7" s="60"/>
      <c r="D7" s="83">
        <f t="shared" si="0"/>
        <v>0</v>
      </c>
      <c r="E7" s="84"/>
      <c r="F7" s="84"/>
      <c r="G7" s="84"/>
      <c r="H7" s="84"/>
      <c r="I7" s="84"/>
      <c r="J7" s="84"/>
      <c r="K7" s="84"/>
      <c r="L7" s="84"/>
      <c r="M7" s="84"/>
      <c r="N7" s="84"/>
      <c r="O7" s="86"/>
    </row>
    <row r="8" spans="1:15" x14ac:dyDescent="0.25">
      <c r="A8" s="80"/>
      <c r="B8" s="81"/>
      <c r="C8" s="60"/>
      <c r="D8" s="83">
        <f t="shared" si="0"/>
        <v>0</v>
      </c>
      <c r="E8" s="84"/>
      <c r="F8" s="84"/>
      <c r="G8" s="84"/>
      <c r="H8" s="84"/>
      <c r="I8" s="84"/>
      <c r="J8" s="84"/>
      <c r="K8" s="84"/>
      <c r="L8" s="84"/>
      <c r="M8" s="84"/>
      <c r="N8" s="84"/>
      <c r="O8" s="86"/>
    </row>
    <row r="9" spans="1:15" x14ac:dyDescent="0.25">
      <c r="A9" s="80"/>
      <c r="B9" s="81"/>
      <c r="C9" s="60"/>
      <c r="D9" s="83">
        <f t="shared" si="0"/>
        <v>0</v>
      </c>
      <c r="E9" s="84"/>
      <c r="F9" s="84"/>
      <c r="G9" s="84"/>
      <c r="H9" s="84"/>
      <c r="I9" s="84"/>
      <c r="J9" s="84"/>
      <c r="K9" s="84"/>
      <c r="L9" s="84"/>
      <c r="M9" s="84"/>
      <c r="N9" s="84"/>
      <c r="O9" s="86"/>
    </row>
    <row r="10" spans="1:15" x14ac:dyDescent="0.25">
      <c r="A10" s="80"/>
      <c r="B10" s="81"/>
      <c r="C10" s="60"/>
      <c r="D10" s="83">
        <f t="shared" si="0"/>
        <v>0</v>
      </c>
      <c r="E10" s="84"/>
      <c r="F10" s="84"/>
      <c r="G10" s="84"/>
      <c r="H10" s="84"/>
      <c r="I10" s="84"/>
      <c r="J10" s="84"/>
      <c r="K10" s="84"/>
      <c r="L10" s="84"/>
      <c r="M10" s="84"/>
      <c r="N10" s="84"/>
      <c r="O10" s="86"/>
    </row>
    <row r="11" spans="1:15" x14ac:dyDescent="0.25">
      <c r="A11" s="80"/>
      <c r="B11" s="81"/>
      <c r="C11" s="60"/>
      <c r="D11" s="83">
        <f t="shared" si="0"/>
        <v>0</v>
      </c>
      <c r="E11" s="84"/>
      <c r="F11" s="84"/>
      <c r="G11" s="84"/>
      <c r="H11" s="84"/>
      <c r="I11" s="84"/>
      <c r="J11" s="84"/>
      <c r="K11" s="84"/>
      <c r="L11" s="84"/>
      <c r="M11" s="84"/>
      <c r="N11" s="84"/>
      <c r="O11" s="86"/>
    </row>
    <row r="12" spans="1:15" x14ac:dyDescent="0.25">
      <c r="A12" s="80"/>
      <c r="B12" s="81"/>
      <c r="C12" s="60"/>
      <c r="D12" s="83">
        <f t="shared" si="0"/>
        <v>0</v>
      </c>
      <c r="E12" s="84"/>
      <c r="F12" s="84"/>
      <c r="G12" s="84"/>
      <c r="H12" s="84"/>
      <c r="I12" s="84"/>
      <c r="J12" s="84"/>
      <c r="K12" s="84"/>
      <c r="L12" s="84"/>
      <c r="M12" s="84"/>
      <c r="N12" s="84"/>
      <c r="O12" s="86"/>
    </row>
    <row r="13" spans="1:15" x14ac:dyDescent="0.25">
      <c r="A13" s="80"/>
      <c r="B13" s="81"/>
      <c r="C13" s="60"/>
      <c r="D13" s="83">
        <f t="shared" si="0"/>
        <v>0</v>
      </c>
      <c r="E13" s="84"/>
      <c r="F13" s="84"/>
      <c r="G13" s="84"/>
      <c r="H13" s="84"/>
      <c r="I13" s="84"/>
      <c r="J13" s="84"/>
      <c r="K13" s="84"/>
      <c r="L13" s="84"/>
      <c r="M13" s="84"/>
      <c r="N13" s="84"/>
      <c r="O13" s="86"/>
    </row>
    <row r="14" spans="1:15" x14ac:dyDescent="0.25">
      <c r="A14" s="80"/>
      <c r="B14" s="81"/>
      <c r="C14" s="60"/>
      <c r="D14" s="83">
        <f t="shared" si="0"/>
        <v>0</v>
      </c>
      <c r="E14" s="84"/>
      <c r="F14" s="84"/>
      <c r="G14" s="84"/>
      <c r="H14" s="84"/>
      <c r="I14" s="84"/>
      <c r="J14" s="84"/>
      <c r="K14" s="84"/>
      <c r="L14" s="84"/>
      <c r="M14" s="84"/>
      <c r="N14" s="84"/>
      <c r="O14" s="86"/>
    </row>
    <row r="15" spans="1:15" x14ac:dyDescent="0.25">
      <c r="A15" s="80"/>
      <c r="B15" s="81"/>
      <c r="C15" s="60"/>
      <c r="D15" s="83">
        <f t="shared" si="0"/>
        <v>0</v>
      </c>
      <c r="E15" s="84"/>
      <c r="F15" s="84"/>
      <c r="G15" s="84"/>
      <c r="H15" s="84"/>
      <c r="I15" s="84"/>
      <c r="J15" s="84"/>
      <c r="K15" s="84"/>
      <c r="L15" s="84"/>
      <c r="M15" s="84"/>
      <c r="N15" s="84"/>
      <c r="O15" s="86"/>
    </row>
    <row r="16" spans="1:15" x14ac:dyDescent="0.25">
      <c r="A16" s="80"/>
      <c r="B16" s="81"/>
      <c r="C16" s="60"/>
      <c r="D16" s="83">
        <f t="shared" si="0"/>
        <v>0</v>
      </c>
      <c r="E16" s="84"/>
      <c r="F16" s="84"/>
      <c r="G16" s="84"/>
      <c r="H16" s="84"/>
      <c r="I16" s="84"/>
      <c r="J16" s="84"/>
      <c r="K16" s="84"/>
      <c r="L16" s="84"/>
      <c r="M16" s="84"/>
      <c r="N16" s="84"/>
      <c r="O16" s="86"/>
    </row>
    <row r="17" spans="1:15" x14ac:dyDescent="0.25">
      <c r="A17" s="80"/>
      <c r="B17" s="81"/>
      <c r="C17" s="60"/>
      <c r="D17" s="83">
        <f t="shared" si="0"/>
        <v>0</v>
      </c>
      <c r="E17" s="84"/>
      <c r="F17" s="84"/>
      <c r="G17" s="84"/>
      <c r="H17" s="84"/>
      <c r="I17" s="84"/>
      <c r="J17" s="84"/>
      <c r="K17" s="84"/>
      <c r="L17" s="84"/>
      <c r="M17" s="84"/>
      <c r="N17" s="84"/>
      <c r="O17" s="86"/>
    </row>
    <row r="18" spans="1:15" ht="13.8" thickBot="1" x14ac:dyDescent="0.3">
      <c r="A18" s="80"/>
      <c r="B18" s="81"/>
      <c r="C18" s="60"/>
      <c r="D18" s="83"/>
      <c r="E18" s="84"/>
      <c r="F18" s="84"/>
      <c r="G18" s="84"/>
      <c r="H18" s="84"/>
      <c r="I18" s="19"/>
      <c r="J18" s="19"/>
      <c r="K18" s="19"/>
      <c r="L18" s="19"/>
      <c r="M18" s="19"/>
      <c r="N18" s="85"/>
      <c r="O18" s="86"/>
    </row>
    <row r="19" spans="1:15" ht="16.2" thickBot="1" x14ac:dyDescent="0.3">
      <c r="A19" s="87"/>
      <c r="B19" s="88"/>
      <c r="C19" s="89" t="s">
        <v>17</v>
      </c>
      <c r="D19" s="90">
        <f t="shared" ref="D19:O19" si="1">SUM(D6:D18)</f>
        <v>0</v>
      </c>
      <c r="E19" s="91">
        <f t="shared" si="1"/>
        <v>0</v>
      </c>
      <c r="F19" s="91">
        <f t="shared" si="1"/>
        <v>0</v>
      </c>
      <c r="G19" s="91">
        <f t="shared" si="1"/>
        <v>0</v>
      </c>
      <c r="H19" s="91">
        <f t="shared" si="1"/>
        <v>0</v>
      </c>
      <c r="I19" s="91">
        <f t="shared" si="1"/>
        <v>0</v>
      </c>
      <c r="J19" s="91">
        <f t="shared" si="1"/>
        <v>0</v>
      </c>
      <c r="K19" s="91">
        <f t="shared" si="1"/>
        <v>0</v>
      </c>
      <c r="L19" s="91">
        <f t="shared" si="1"/>
        <v>0</v>
      </c>
      <c r="M19" s="91">
        <f t="shared" si="1"/>
        <v>0</v>
      </c>
      <c r="N19" s="91">
        <f t="shared" si="1"/>
        <v>0</v>
      </c>
      <c r="O19" s="92">
        <f t="shared" si="1"/>
        <v>0</v>
      </c>
    </row>
    <row r="20" spans="1:15" ht="12.75" customHeight="1" x14ac:dyDescent="0.25">
      <c r="A20" s="87"/>
      <c r="B20" s="93"/>
      <c r="C20" s="93"/>
      <c r="D20" s="236" t="s">
        <v>18</v>
      </c>
      <c r="E20" s="236" t="s">
        <v>19</v>
      </c>
      <c r="F20" s="236" t="s">
        <v>19</v>
      </c>
      <c r="G20" s="237" t="s">
        <v>20</v>
      </c>
      <c r="H20" s="93"/>
      <c r="N20" s="93"/>
      <c r="O20" s="103"/>
    </row>
    <row r="21" spans="1:15" ht="13.8" thickBot="1" x14ac:dyDescent="0.3">
      <c r="A21" s="97"/>
      <c r="B21" s="72"/>
      <c r="C21" s="72" t="s">
        <v>71</v>
      </c>
      <c r="D21" s="98">
        <f>SUM(E19:O19)-D19</f>
        <v>0</v>
      </c>
      <c r="E21" s="253" t="str">
        <f>IF(D21=0,"","ERROR - figures do not add across")</f>
        <v/>
      </c>
      <c r="F21" s="72"/>
      <c r="G21" s="72"/>
      <c r="H21" s="72"/>
      <c r="I21" s="72"/>
      <c r="J21" s="72"/>
      <c r="K21" s="72"/>
      <c r="L21" s="72"/>
      <c r="M21" s="72"/>
      <c r="N21" s="72"/>
      <c r="O21" s="99"/>
    </row>
    <row r="23" spans="1:15" ht="13.8" thickBot="1" x14ac:dyDescent="0.3"/>
    <row r="24" spans="1:15" ht="18" thickBot="1" x14ac:dyDescent="0.3">
      <c r="A24" s="100" t="s">
        <v>21</v>
      </c>
      <c r="B24" s="101"/>
      <c r="C24" s="61"/>
      <c r="D24" s="68"/>
      <c r="E24" s="68"/>
      <c r="F24" s="68"/>
      <c r="G24" s="68"/>
      <c r="H24" s="68"/>
      <c r="I24" s="68"/>
      <c r="J24" s="68"/>
      <c r="K24" s="68"/>
      <c r="L24" s="68"/>
      <c r="M24" s="68"/>
      <c r="N24" s="239" t="s">
        <v>10</v>
      </c>
      <c r="O24" s="70">
        <f>O3</f>
        <v>40937</v>
      </c>
    </row>
    <row r="25" spans="1:15" ht="13.8" thickBot="1" x14ac:dyDescent="0.3">
      <c r="A25" s="102"/>
      <c r="B25" s="93"/>
      <c r="C25" s="93"/>
      <c r="D25" s="93"/>
      <c r="E25" s="93"/>
      <c r="F25" s="93"/>
      <c r="G25" s="93"/>
      <c r="H25" s="93"/>
      <c r="I25" s="93"/>
      <c r="J25" s="93"/>
      <c r="K25" s="93"/>
      <c r="L25" s="93"/>
      <c r="M25" s="93"/>
      <c r="N25" s="93"/>
      <c r="O25" s="103"/>
    </row>
    <row r="26" spans="1:15" s="79" customFormat="1" ht="27" customHeight="1" thickBot="1" x14ac:dyDescent="0.3">
      <c r="A26" s="104" t="s">
        <v>12</v>
      </c>
      <c r="B26" s="75" t="s">
        <v>68</v>
      </c>
      <c r="C26" s="105" t="s">
        <v>123</v>
      </c>
      <c r="D26" s="106" t="s">
        <v>63</v>
      </c>
      <c r="E26" s="107" t="str">
        <f>'Month 9'!E26</f>
        <v>PAYE/NI</v>
      </c>
      <c r="F26" s="107" t="str">
        <f>'Month 9'!F26</f>
        <v>Net Wages</v>
      </c>
      <c r="G26" s="107" t="str">
        <f>'Month 9'!G26</f>
        <v>Dividends</v>
      </c>
      <c r="H26" s="107" t="str">
        <f>'Month 9'!H26</f>
        <v>Company Dep A/C</v>
      </c>
      <c r="I26" s="107" t="str">
        <f>'Month 9'!I26</f>
        <v>Company Pension</v>
      </c>
      <c r="J26" s="107" t="str">
        <f>'Month 9'!J26</f>
        <v>Motor &amp; Travel</v>
      </c>
      <c r="K26" s="107" t="str">
        <f>'Month 9'!K26</f>
        <v>Standing Orders</v>
      </c>
      <c r="L26" s="107" t="str">
        <f>'Month 9'!L26</f>
        <v>Petty Cash</v>
      </c>
      <c r="M26" s="107" t="s">
        <v>143</v>
      </c>
      <c r="N26" s="107" t="str">
        <f>'Month 9'!N26</f>
        <v>Sundries</v>
      </c>
      <c r="O26" s="78" t="s">
        <v>142</v>
      </c>
    </row>
    <row r="27" spans="1:15" x14ac:dyDescent="0.25">
      <c r="A27" s="80"/>
      <c r="B27" s="81"/>
      <c r="C27" s="60"/>
      <c r="D27" s="83">
        <f t="shared" ref="D27:D40" si="2">SUM(E27:O27)</f>
        <v>0</v>
      </c>
      <c r="E27" s="84"/>
      <c r="F27" s="84"/>
      <c r="G27" s="84"/>
      <c r="H27" s="84"/>
      <c r="I27" s="84"/>
      <c r="J27" s="84"/>
      <c r="K27" s="84"/>
      <c r="L27" s="84"/>
      <c r="M27" s="84"/>
      <c r="N27" s="84"/>
      <c r="O27" s="86"/>
    </row>
    <row r="28" spans="1:15" x14ac:dyDescent="0.25">
      <c r="A28" s="80"/>
      <c r="B28" s="81"/>
      <c r="C28" s="60"/>
      <c r="D28" s="83">
        <f t="shared" si="2"/>
        <v>0</v>
      </c>
      <c r="E28" s="84"/>
      <c r="F28" s="84"/>
      <c r="G28" s="84"/>
      <c r="H28" s="84"/>
      <c r="I28" s="84"/>
      <c r="J28" s="84"/>
      <c r="K28" s="84"/>
      <c r="L28" s="84"/>
      <c r="M28" s="84"/>
      <c r="N28" s="84"/>
      <c r="O28" s="86"/>
    </row>
    <row r="29" spans="1:15" x14ac:dyDescent="0.25">
      <c r="A29" s="80"/>
      <c r="B29" s="81"/>
      <c r="C29" s="60"/>
      <c r="D29" s="83">
        <f t="shared" si="2"/>
        <v>0</v>
      </c>
      <c r="E29" s="84"/>
      <c r="F29" s="84"/>
      <c r="G29" s="84"/>
      <c r="H29" s="84"/>
      <c r="I29" s="84"/>
      <c r="J29" s="84"/>
      <c r="K29" s="84"/>
      <c r="L29" s="84"/>
      <c r="M29" s="84"/>
      <c r="N29" s="84"/>
      <c r="O29" s="86"/>
    </row>
    <row r="30" spans="1:15" x14ac:dyDescent="0.25">
      <c r="A30" s="80"/>
      <c r="B30" s="81"/>
      <c r="C30" s="60"/>
      <c r="D30" s="83">
        <f t="shared" si="2"/>
        <v>0</v>
      </c>
      <c r="E30" s="84"/>
      <c r="F30" s="84"/>
      <c r="G30" s="84"/>
      <c r="H30" s="84"/>
      <c r="I30" s="84"/>
      <c r="J30" s="84"/>
      <c r="K30" s="84"/>
      <c r="L30" s="84"/>
      <c r="M30" s="84"/>
      <c r="N30" s="84"/>
      <c r="O30" s="86"/>
    </row>
    <row r="31" spans="1:15" x14ac:dyDescent="0.25">
      <c r="A31" s="80"/>
      <c r="B31" s="81"/>
      <c r="C31" s="60"/>
      <c r="D31" s="83">
        <f t="shared" si="2"/>
        <v>0</v>
      </c>
      <c r="E31" s="84"/>
      <c r="F31" s="84"/>
      <c r="G31" s="84"/>
      <c r="H31" s="84"/>
      <c r="I31" s="84"/>
      <c r="J31" s="84"/>
      <c r="K31" s="84"/>
      <c r="L31" s="84"/>
      <c r="M31" s="84"/>
      <c r="N31" s="84"/>
      <c r="O31" s="86"/>
    </row>
    <row r="32" spans="1:15" x14ac:dyDescent="0.25">
      <c r="A32" s="80"/>
      <c r="B32" s="81"/>
      <c r="C32" s="60"/>
      <c r="D32" s="83">
        <f t="shared" si="2"/>
        <v>0</v>
      </c>
      <c r="E32" s="84"/>
      <c r="F32" s="84"/>
      <c r="G32" s="84"/>
      <c r="H32" s="84"/>
      <c r="I32" s="84"/>
      <c r="J32" s="84"/>
      <c r="K32" s="84"/>
      <c r="L32" s="84"/>
      <c r="M32" s="84"/>
      <c r="N32" s="84"/>
      <c r="O32" s="86"/>
    </row>
    <row r="33" spans="1:15" x14ac:dyDescent="0.25">
      <c r="A33" s="80"/>
      <c r="B33" s="81"/>
      <c r="C33" s="60"/>
      <c r="D33" s="83">
        <f t="shared" si="2"/>
        <v>0</v>
      </c>
      <c r="E33" s="84"/>
      <c r="F33" s="84"/>
      <c r="G33" s="84"/>
      <c r="H33" s="84"/>
      <c r="I33" s="84"/>
      <c r="J33" s="84"/>
      <c r="K33" s="84"/>
      <c r="L33" s="84"/>
      <c r="M33" s="84"/>
      <c r="N33" s="84"/>
      <c r="O33" s="86"/>
    </row>
    <row r="34" spans="1:15" x14ac:dyDescent="0.25">
      <c r="A34" s="80"/>
      <c r="B34" s="81"/>
      <c r="C34" s="60"/>
      <c r="D34" s="83">
        <f t="shared" si="2"/>
        <v>0</v>
      </c>
      <c r="E34" s="84"/>
      <c r="F34" s="84"/>
      <c r="G34" s="84"/>
      <c r="H34" s="84"/>
      <c r="I34" s="84"/>
      <c r="J34" s="84"/>
      <c r="K34" s="84"/>
      <c r="L34" s="84"/>
      <c r="M34" s="84"/>
      <c r="N34" s="84"/>
      <c r="O34" s="86"/>
    </row>
    <row r="35" spans="1:15" x14ac:dyDescent="0.25">
      <c r="A35" s="80"/>
      <c r="B35" s="81"/>
      <c r="C35" s="60"/>
      <c r="D35" s="83">
        <f t="shared" si="2"/>
        <v>0</v>
      </c>
      <c r="E35" s="84"/>
      <c r="F35" s="84"/>
      <c r="G35" s="84"/>
      <c r="H35" s="84"/>
      <c r="I35" s="84"/>
      <c r="J35" s="84"/>
      <c r="K35" s="84"/>
      <c r="L35" s="84"/>
      <c r="M35" s="84"/>
      <c r="N35" s="84"/>
      <c r="O35" s="86"/>
    </row>
    <row r="36" spans="1:15" x14ac:dyDescent="0.25">
      <c r="A36" s="80"/>
      <c r="B36" s="81"/>
      <c r="C36" s="60"/>
      <c r="D36" s="83">
        <f t="shared" si="2"/>
        <v>0</v>
      </c>
      <c r="E36" s="84"/>
      <c r="F36" s="84"/>
      <c r="G36" s="84"/>
      <c r="H36" s="84"/>
      <c r="I36" s="84"/>
      <c r="J36" s="84"/>
      <c r="K36" s="84"/>
      <c r="L36" s="84"/>
      <c r="M36" s="84"/>
      <c r="N36" s="84"/>
      <c r="O36" s="86"/>
    </row>
    <row r="37" spans="1:15" x14ac:dyDescent="0.25">
      <c r="A37" s="80"/>
      <c r="B37" s="81"/>
      <c r="C37" s="60"/>
      <c r="D37" s="83">
        <f t="shared" si="2"/>
        <v>0</v>
      </c>
      <c r="E37" s="84"/>
      <c r="F37" s="84"/>
      <c r="G37" s="84"/>
      <c r="H37" s="84"/>
      <c r="I37" s="84"/>
      <c r="J37" s="84"/>
      <c r="K37" s="84"/>
      <c r="L37" s="84"/>
      <c r="M37" s="84"/>
      <c r="N37" s="84"/>
      <c r="O37" s="86"/>
    </row>
    <row r="38" spans="1:15" x14ac:dyDescent="0.25">
      <c r="A38" s="80"/>
      <c r="B38" s="81"/>
      <c r="C38" s="60"/>
      <c r="D38" s="83">
        <f t="shared" si="2"/>
        <v>0</v>
      </c>
      <c r="E38" s="84"/>
      <c r="F38" s="84"/>
      <c r="G38" s="84"/>
      <c r="H38" s="84"/>
      <c r="I38" s="84"/>
      <c r="J38" s="84"/>
      <c r="K38" s="84"/>
      <c r="L38" s="84"/>
      <c r="M38" s="84"/>
      <c r="N38" s="84"/>
      <c r="O38" s="86"/>
    </row>
    <row r="39" spans="1:15" x14ac:dyDescent="0.25">
      <c r="A39" s="80"/>
      <c r="B39" s="81"/>
      <c r="C39" s="60"/>
      <c r="D39" s="83">
        <f t="shared" si="2"/>
        <v>0</v>
      </c>
      <c r="E39" s="84"/>
      <c r="F39" s="84"/>
      <c r="G39" s="84"/>
      <c r="H39" s="84"/>
      <c r="I39" s="84"/>
      <c r="J39" s="84"/>
      <c r="K39" s="84"/>
      <c r="L39" s="84"/>
      <c r="M39" s="84"/>
      <c r="N39" s="84"/>
      <c r="O39" s="86"/>
    </row>
    <row r="40" spans="1:15" x14ac:dyDescent="0.25">
      <c r="A40" s="80"/>
      <c r="B40" s="81"/>
      <c r="C40" s="60"/>
      <c r="D40" s="83">
        <f t="shared" si="2"/>
        <v>0</v>
      </c>
      <c r="E40" s="84"/>
      <c r="F40" s="84"/>
      <c r="G40" s="84"/>
      <c r="H40" s="84"/>
      <c r="I40" s="84"/>
      <c r="J40" s="84"/>
      <c r="K40" s="84"/>
      <c r="L40" s="84"/>
      <c r="M40" s="84"/>
      <c r="N40" s="84"/>
      <c r="O40" s="86"/>
    </row>
    <row r="41" spans="1:15" ht="13.8" thickBot="1" x14ac:dyDescent="0.3">
      <c r="A41" s="80"/>
      <c r="B41" s="81"/>
      <c r="C41" s="60"/>
      <c r="D41" s="83"/>
      <c r="E41" s="84"/>
      <c r="F41" s="84"/>
      <c r="G41" s="84"/>
      <c r="H41" s="84"/>
      <c r="I41" s="84"/>
      <c r="J41" s="84"/>
      <c r="K41" s="84"/>
      <c r="L41" s="84"/>
      <c r="M41" s="84"/>
      <c r="N41" s="84"/>
      <c r="O41" s="86"/>
    </row>
    <row r="42" spans="1:15" ht="16.2" thickBot="1" x14ac:dyDescent="0.3">
      <c r="A42" s="87"/>
      <c r="B42" s="88"/>
      <c r="C42" s="89" t="s">
        <v>17</v>
      </c>
      <c r="D42" s="90">
        <f t="shared" ref="D42:O42" si="3">SUM(D27:D41)</f>
        <v>0</v>
      </c>
      <c r="E42" s="91">
        <f t="shared" si="3"/>
        <v>0</v>
      </c>
      <c r="F42" s="91">
        <f t="shared" si="3"/>
        <v>0</v>
      </c>
      <c r="G42" s="91">
        <f t="shared" si="3"/>
        <v>0</v>
      </c>
      <c r="H42" s="91">
        <f t="shared" si="3"/>
        <v>0</v>
      </c>
      <c r="I42" s="91">
        <f t="shared" si="3"/>
        <v>0</v>
      </c>
      <c r="J42" s="91">
        <f t="shared" si="3"/>
        <v>0</v>
      </c>
      <c r="K42" s="91">
        <f>SUM(K27:K41)</f>
        <v>0</v>
      </c>
      <c r="L42" s="91">
        <f>SUM(L27:L41)</f>
        <v>0</v>
      </c>
      <c r="M42" s="91">
        <f t="shared" si="3"/>
        <v>0</v>
      </c>
      <c r="N42" s="91">
        <f t="shared" si="3"/>
        <v>0</v>
      </c>
      <c r="O42" s="92">
        <f t="shared" si="3"/>
        <v>0</v>
      </c>
    </row>
    <row r="43" spans="1:15" ht="13.8" x14ac:dyDescent="0.25">
      <c r="A43" s="87"/>
      <c r="B43" s="93"/>
      <c r="C43" s="93"/>
      <c r="D43" s="94" t="s">
        <v>26</v>
      </c>
      <c r="E43" s="93"/>
      <c r="F43" s="93"/>
      <c r="G43" s="93"/>
      <c r="H43" s="93"/>
      <c r="I43" s="93"/>
      <c r="J43" s="93"/>
      <c r="K43" s="93"/>
      <c r="L43" s="93"/>
      <c r="M43" s="93"/>
      <c r="N43" s="93"/>
      <c r="O43" s="108" t="s">
        <v>27</v>
      </c>
    </row>
    <row r="44" spans="1:15" ht="13.8" thickBot="1" x14ac:dyDescent="0.3">
      <c r="A44" s="97"/>
      <c r="B44" s="72"/>
      <c r="C44" s="72" t="s">
        <v>71</v>
      </c>
      <c r="D44" s="98">
        <f>SUM(E42:O42)-D42</f>
        <v>0</v>
      </c>
      <c r="E44" s="253" t="str">
        <f>IF(D44=0,"","ERROR - figures do not add across")</f>
        <v/>
      </c>
      <c r="F44" s="72"/>
      <c r="G44" s="72"/>
      <c r="H44" s="72"/>
      <c r="I44" s="72"/>
      <c r="J44" s="72"/>
      <c r="K44" s="72"/>
      <c r="L44" s="72"/>
      <c r="M44" s="72"/>
      <c r="N44" s="72"/>
      <c r="O44" s="99"/>
    </row>
    <row r="46" spans="1:15" ht="13.8" thickBot="1" x14ac:dyDescent="0.3"/>
    <row r="47" spans="1:15" ht="18" thickBot="1" x14ac:dyDescent="0.3">
      <c r="A47" s="109" t="s">
        <v>28</v>
      </c>
      <c r="B47" s="61"/>
      <c r="C47" s="61"/>
      <c r="D47" s="110"/>
      <c r="E47" s="239" t="s">
        <v>10</v>
      </c>
      <c r="F47" s="70">
        <f>O3</f>
        <v>40937</v>
      </c>
      <c r="H47" s="109" t="s">
        <v>132</v>
      </c>
      <c r="I47" s="61"/>
      <c r="J47" s="61"/>
      <c r="K47" s="68"/>
      <c r="L47" s="68"/>
      <c r="M47" s="68"/>
      <c r="N47" s="239" t="s">
        <v>10</v>
      </c>
      <c r="O47" s="70">
        <f>F47</f>
        <v>40937</v>
      </c>
    </row>
    <row r="48" spans="1:15" x14ac:dyDescent="0.25">
      <c r="A48" s="102"/>
      <c r="B48" s="93"/>
      <c r="C48" s="93"/>
      <c r="D48" s="93"/>
      <c r="E48" s="93"/>
      <c r="F48" s="103"/>
      <c r="H48" s="102"/>
      <c r="I48" s="93"/>
      <c r="J48" s="93"/>
      <c r="K48" s="93"/>
      <c r="L48" s="93"/>
      <c r="M48" s="93"/>
      <c r="N48" s="93"/>
      <c r="O48" s="103"/>
    </row>
    <row r="49" spans="1:15" x14ac:dyDescent="0.25">
      <c r="A49" s="111" t="s">
        <v>29</v>
      </c>
      <c r="B49" s="93"/>
      <c r="C49" s="93"/>
      <c r="D49" s="93"/>
      <c r="E49" s="83">
        <f>'Month 9'!E53</f>
        <v>0</v>
      </c>
      <c r="F49" s="103"/>
      <c r="H49" s="112"/>
      <c r="I49" s="93"/>
      <c r="J49" s="93"/>
      <c r="K49" s="93"/>
      <c r="L49" s="93"/>
      <c r="M49" s="93"/>
      <c r="N49" s="93"/>
      <c r="O49" s="103"/>
    </row>
    <row r="50" spans="1:15" ht="14.4" thickBot="1" x14ac:dyDescent="0.3">
      <c r="A50" s="111" t="s">
        <v>30</v>
      </c>
      <c r="B50" s="93"/>
      <c r="C50" s="94"/>
      <c r="D50" s="94" t="s">
        <v>18</v>
      </c>
      <c r="E50" s="113">
        <f>+D19</f>
        <v>0</v>
      </c>
      <c r="F50" s="103"/>
      <c r="H50" s="112" t="s">
        <v>29</v>
      </c>
      <c r="I50" s="93"/>
      <c r="J50" s="93"/>
      <c r="K50" s="93"/>
      <c r="L50" s="93"/>
      <c r="N50" s="114">
        <f>'Month 9'!N56</f>
        <v>0</v>
      </c>
      <c r="O50" s="103"/>
    </row>
    <row r="51" spans="1:15" ht="13.8" x14ac:dyDescent="0.25">
      <c r="A51" s="111"/>
      <c r="B51" s="93"/>
      <c r="C51" s="94"/>
      <c r="D51" s="94"/>
      <c r="E51" s="83">
        <f>SUM(E49:E50)</f>
        <v>0</v>
      </c>
      <c r="F51" s="103"/>
      <c r="H51" s="112"/>
      <c r="I51" s="93"/>
      <c r="J51" s="93"/>
      <c r="K51" s="93"/>
      <c r="L51" s="93"/>
      <c r="N51" s="114"/>
      <c r="O51" s="103"/>
    </row>
    <row r="52" spans="1:15" ht="14.4" thickBot="1" x14ac:dyDescent="0.3">
      <c r="A52" s="111" t="s">
        <v>59</v>
      </c>
      <c r="B52" s="93"/>
      <c r="C52" s="94"/>
      <c r="D52" s="94" t="s">
        <v>26</v>
      </c>
      <c r="E52" s="83">
        <f>+D42</f>
        <v>0</v>
      </c>
      <c r="F52" s="103"/>
      <c r="H52" s="112" t="s">
        <v>133</v>
      </c>
      <c r="I52" s="93"/>
      <c r="J52" s="93"/>
      <c r="K52" s="93"/>
      <c r="L52" s="93"/>
      <c r="N52" s="114">
        <f>L42</f>
        <v>0</v>
      </c>
      <c r="O52" s="103"/>
    </row>
    <row r="53" spans="1:15" ht="14.4" thickBot="1" x14ac:dyDescent="0.3">
      <c r="A53" s="111" t="s">
        <v>31</v>
      </c>
      <c r="B53" s="94"/>
      <c r="C53" s="94"/>
      <c r="D53" s="108" t="s">
        <v>32</v>
      </c>
      <c r="E53" s="115">
        <f>SUM(E51-E52)</f>
        <v>0</v>
      </c>
      <c r="F53" s="103"/>
      <c r="H53" s="112"/>
      <c r="I53" s="93"/>
      <c r="J53" s="93"/>
      <c r="K53" s="93"/>
      <c r="L53" s="93"/>
      <c r="N53" s="114"/>
      <c r="O53" s="103"/>
    </row>
    <row r="54" spans="1:15" ht="13.8" thickBot="1" x14ac:dyDescent="0.3">
      <c r="A54" s="102"/>
      <c r="B54" s="93"/>
      <c r="C54" s="93"/>
      <c r="D54" s="93"/>
      <c r="E54" s="93"/>
      <c r="F54" s="103"/>
      <c r="H54" s="112" t="s">
        <v>134</v>
      </c>
      <c r="I54" s="93"/>
      <c r="J54" s="93"/>
      <c r="K54" s="93"/>
      <c r="L54" s="93"/>
      <c r="N54" s="114">
        <f>-D88</f>
        <v>0</v>
      </c>
      <c r="O54" s="103"/>
    </row>
    <row r="55" spans="1:15" ht="18" thickBot="1" x14ac:dyDescent="0.3">
      <c r="A55" s="116" t="s">
        <v>33</v>
      </c>
      <c r="B55" s="117"/>
      <c r="C55" s="61"/>
      <c r="D55" s="118"/>
      <c r="E55" s="93"/>
      <c r="F55" s="103"/>
      <c r="H55" s="112"/>
      <c r="I55" s="93"/>
      <c r="J55" s="93"/>
      <c r="K55" s="93"/>
      <c r="L55" s="93"/>
      <c r="N55" s="114"/>
      <c r="O55" s="103"/>
    </row>
    <row r="56" spans="1:15" ht="13.8" thickBot="1" x14ac:dyDescent="0.3">
      <c r="A56" s="102"/>
      <c r="B56" s="93"/>
      <c r="C56" s="93"/>
      <c r="D56" s="93"/>
      <c r="E56" s="93"/>
      <c r="F56" s="103"/>
      <c r="H56" s="112" t="s">
        <v>31</v>
      </c>
      <c r="I56" s="93"/>
      <c r="J56" s="93"/>
      <c r="K56" s="93"/>
      <c r="L56" s="93"/>
      <c r="N56" s="119">
        <f>SUM(N50:N55)</f>
        <v>0</v>
      </c>
      <c r="O56" s="103"/>
    </row>
    <row r="57" spans="1:15" ht="13.8" thickBot="1" x14ac:dyDescent="0.3">
      <c r="A57" s="111" t="s">
        <v>34</v>
      </c>
      <c r="B57" s="93"/>
      <c r="C57" s="120"/>
      <c r="D57" s="121"/>
      <c r="E57" s="122"/>
      <c r="F57" s="103"/>
      <c r="H57" s="102"/>
      <c r="I57" s="93"/>
      <c r="J57" s="93"/>
      <c r="K57" s="93"/>
      <c r="L57" s="93"/>
      <c r="M57" s="93"/>
      <c r="N57" s="93"/>
      <c r="O57" s="103"/>
    </row>
    <row r="58" spans="1:15" x14ac:dyDescent="0.25">
      <c r="A58" s="111"/>
      <c r="B58" s="93"/>
      <c r="C58" s="120"/>
      <c r="D58" s="121"/>
      <c r="E58" s="83"/>
      <c r="F58" s="103"/>
      <c r="H58" s="102"/>
      <c r="I58" s="93"/>
      <c r="J58" s="93"/>
      <c r="K58" s="93"/>
      <c r="L58" s="93"/>
      <c r="M58" s="93"/>
      <c r="N58" s="93"/>
      <c r="O58" s="103"/>
    </row>
    <row r="59" spans="1:15" x14ac:dyDescent="0.25">
      <c r="A59" s="111" t="s">
        <v>35</v>
      </c>
      <c r="B59" s="93"/>
      <c r="C59" s="120"/>
      <c r="D59" s="123"/>
      <c r="E59" s="83"/>
      <c r="F59" s="103"/>
      <c r="H59" s="102"/>
      <c r="I59" s="93"/>
      <c r="J59" s="93"/>
      <c r="K59" s="93"/>
      <c r="L59" s="93"/>
      <c r="M59" s="93"/>
      <c r="N59" s="93"/>
      <c r="O59" s="103"/>
    </row>
    <row r="60" spans="1:15" x14ac:dyDescent="0.25">
      <c r="A60" s="124"/>
      <c r="B60" s="52"/>
      <c r="C60" s="125"/>
      <c r="D60" s="126"/>
      <c r="E60" s="83"/>
      <c r="F60" s="103"/>
      <c r="H60" s="102"/>
      <c r="I60" s="93"/>
      <c r="J60" s="93"/>
      <c r="K60" s="93"/>
      <c r="L60" s="93"/>
      <c r="M60" s="93"/>
      <c r="N60" s="93"/>
      <c r="O60" s="103"/>
    </row>
    <row r="61" spans="1:15" ht="13.8" thickBot="1" x14ac:dyDescent="0.3">
      <c r="A61" s="124"/>
      <c r="B61" s="52"/>
      <c r="C61" s="125"/>
      <c r="D61" s="126"/>
      <c r="E61" s="127">
        <f>SUM(D59:D61)</f>
        <v>0</v>
      </c>
      <c r="F61" s="103"/>
      <c r="H61" s="102"/>
      <c r="I61" s="93"/>
      <c r="J61" s="93"/>
      <c r="K61" s="93"/>
      <c r="L61" s="93"/>
      <c r="M61" s="93"/>
      <c r="N61" s="93"/>
      <c r="O61" s="103"/>
    </row>
    <row r="62" spans="1:15" x14ac:dyDescent="0.25">
      <c r="A62" s="111"/>
      <c r="B62" s="93"/>
      <c r="C62" s="120"/>
      <c r="D62" s="123"/>
      <c r="E62" s="83">
        <f>SUM(E57:E61)</f>
        <v>0</v>
      </c>
      <c r="F62" s="103"/>
      <c r="H62" s="102"/>
      <c r="I62" s="93"/>
      <c r="J62" s="93"/>
      <c r="K62" s="93"/>
      <c r="L62" s="93"/>
      <c r="M62" s="93"/>
      <c r="N62" s="93"/>
      <c r="O62" s="103"/>
    </row>
    <row r="63" spans="1:15" x14ac:dyDescent="0.25">
      <c r="A63" s="111" t="s">
        <v>36</v>
      </c>
      <c r="B63" s="93"/>
      <c r="C63" s="128"/>
      <c r="D63" s="129"/>
      <c r="E63" s="83"/>
      <c r="F63" s="103"/>
      <c r="H63" s="102"/>
      <c r="I63" s="93"/>
      <c r="J63" s="93"/>
      <c r="K63" s="93"/>
      <c r="L63" s="93"/>
      <c r="M63" s="93"/>
      <c r="N63" s="93"/>
      <c r="O63" s="103"/>
    </row>
    <row r="64" spans="1:15" x14ac:dyDescent="0.25">
      <c r="A64" s="124"/>
      <c r="B64" s="52"/>
      <c r="C64" s="60"/>
      <c r="D64" s="130"/>
      <c r="E64" s="83"/>
      <c r="F64" s="103"/>
      <c r="H64" s="102"/>
      <c r="I64" s="93"/>
      <c r="J64" s="93"/>
      <c r="K64" s="93"/>
      <c r="L64" s="93"/>
      <c r="M64" s="93"/>
      <c r="N64" s="93"/>
      <c r="O64" s="103"/>
    </row>
    <row r="65" spans="1:15" x14ac:dyDescent="0.25">
      <c r="A65" s="124"/>
      <c r="B65" s="52"/>
      <c r="C65" s="60"/>
      <c r="D65" s="130"/>
      <c r="E65" s="83"/>
      <c r="F65" s="103"/>
      <c r="H65" s="102"/>
      <c r="I65" s="93"/>
      <c r="J65" s="93"/>
      <c r="K65" s="93"/>
      <c r="L65" s="93"/>
      <c r="M65" s="93"/>
      <c r="N65" s="93"/>
      <c r="O65" s="103"/>
    </row>
    <row r="66" spans="1:15" ht="13.8" thickBot="1" x14ac:dyDescent="0.3">
      <c r="A66" s="124"/>
      <c r="B66" s="52"/>
      <c r="C66" s="125"/>
      <c r="D66" s="126"/>
      <c r="E66" s="83">
        <f>SUM(D63:D66)</f>
        <v>0</v>
      </c>
      <c r="F66" s="103"/>
      <c r="H66" s="102"/>
      <c r="I66" s="93"/>
      <c r="J66" s="93"/>
      <c r="K66" s="93"/>
      <c r="L66" s="93"/>
      <c r="M66" s="93"/>
      <c r="N66" s="93"/>
      <c r="O66" s="103"/>
    </row>
    <row r="67" spans="1:15" ht="16.2" thickBot="1" x14ac:dyDescent="0.3">
      <c r="A67" s="131" t="s">
        <v>37</v>
      </c>
      <c r="B67" s="132"/>
      <c r="C67" s="132"/>
      <c r="D67" s="132" t="s">
        <v>32</v>
      </c>
      <c r="E67" s="115">
        <f>SUM(E62-E66)</f>
        <v>0</v>
      </c>
      <c r="F67" s="99"/>
      <c r="H67" s="133"/>
      <c r="I67" s="72"/>
      <c r="J67" s="72"/>
      <c r="K67" s="72"/>
      <c r="L67" s="72"/>
      <c r="M67" s="72"/>
      <c r="N67" s="72"/>
      <c r="O67" s="99"/>
    </row>
    <row r="69" spans="1:15" ht="13.8" thickBot="1" x14ac:dyDescent="0.3"/>
    <row r="70" spans="1:15" ht="18" thickBot="1" x14ac:dyDescent="0.3">
      <c r="A70" s="100" t="s">
        <v>38</v>
      </c>
      <c r="B70" s="101"/>
      <c r="C70" s="61"/>
      <c r="D70" s="68"/>
      <c r="E70" s="68"/>
      <c r="F70" s="68"/>
      <c r="G70" s="68"/>
      <c r="H70" s="68"/>
      <c r="I70" s="68"/>
      <c r="J70" s="68"/>
      <c r="K70" s="68"/>
      <c r="L70" s="68"/>
      <c r="M70" s="68"/>
      <c r="N70" s="239" t="s">
        <v>10</v>
      </c>
      <c r="O70" s="70">
        <f>O3</f>
        <v>40937</v>
      </c>
    </row>
    <row r="71" spans="1:15" ht="13.8" thickBot="1" x14ac:dyDescent="0.3">
      <c r="A71" s="102"/>
      <c r="B71" s="93"/>
      <c r="C71" s="93"/>
      <c r="D71" s="93"/>
      <c r="E71" s="93"/>
      <c r="F71" s="93"/>
      <c r="G71" s="93"/>
      <c r="H71" s="93"/>
      <c r="I71" s="93"/>
      <c r="J71" s="93"/>
      <c r="K71" s="93"/>
      <c r="L71" s="93"/>
      <c r="M71" s="93"/>
      <c r="N71" s="93"/>
      <c r="O71" s="103"/>
    </row>
    <row r="72" spans="1:15" s="79" customFormat="1" ht="27" customHeight="1" thickBot="1" x14ac:dyDescent="0.3">
      <c r="A72" s="74" t="s">
        <v>12</v>
      </c>
      <c r="B72" s="75" t="s">
        <v>129</v>
      </c>
      <c r="C72" s="105" t="s">
        <v>123</v>
      </c>
      <c r="D72" s="106" t="s">
        <v>64</v>
      </c>
      <c r="E72" s="107" t="str">
        <f>'Month 9'!E72</f>
        <v>Motor &amp; Travel</v>
      </c>
      <c r="F72" s="107" t="str">
        <f>'Month 9'!F72</f>
        <v>Print, Post Stationery</v>
      </c>
      <c r="G72" s="107" t="str">
        <f>'Month 9'!G72</f>
        <v>Subsist Accom</v>
      </c>
      <c r="H72" s="107" t="str">
        <f>'Month 9'!H72</f>
        <v>Software &amp; Materials</v>
      </c>
      <c r="I72" s="77" t="str">
        <f>'Month 9'!I72</f>
        <v>Books &amp; Magazines</v>
      </c>
      <c r="J72" s="107" t="str">
        <f>'Month 9'!J72</f>
        <v>Mobile &amp; Telephone</v>
      </c>
      <c r="K72" s="107" t="str">
        <f>'Month 9'!K72</f>
        <v xml:space="preserve"> </v>
      </c>
      <c r="L72" s="107" t="str">
        <f>'Month 9'!L72</f>
        <v xml:space="preserve"> </v>
      </c>
      <c r="M72" s="107" t="str">
        <f>'Month 9'!M72</f>
        <v xml:space="preserve"> </v>
      </c>
      <c r="N72" s="107" t="str">
        <f>'Month 9'!N72</f>
        <v>Sundries</v>
      </c>
      <c r="O72" s="134" t="s">
        <v>142</v>
      </c>
    </row>
    <row r="73" spans="1:15" x14ac:dyDescent="0.25">
      <c r="A73" s="80"/>
      <c r="B73" s="81"/>
      <c r="C73" s="60"/>
      <c r="D73" s="83">
        <f t="shared" ref="D73:D86" si="4">SUM(E73:O73)</f>
        <v>0</v>
      </c>
      <c r="E73" s="84"/>
      <c r="F73" s="84"/>
      <c r="G73" s="84"/>
      <c r="H73" s="84"/>
      <c r="I73" s="84"/>
      <c r="J73" s="84"/>
      <c r="K73" s="84"/>
      <c r="L73" s="84"/>
      <c r="M73" s="84"/>
      <c r="N73" s="84"/>
      <c r="O73" s="86"/>
    </row>
    <row r="74" spans="1:15" x14ac:dyDescent="0.25">
      <c r="A74" s="80"/>
      <c r="B74" s="81"/>
      <c r="C74" s="60"/>
      <c r="D74" s="83">
        <f t="shared" si="4"/>
        <v>0</v>
      </c>
      <c r="E74" s="84"/>
      <c r="F74" s="84"/>
      <c r="G74" s="84"/>
      <c r="H74" s="84"/>
      <c r="I74" s="84"/>
      <c r="J74" s="84"/>
      <c r="K74" s="84"/>
      <c r="L74" s="84"/>
      <c r="M74" s="84"/>
      <c r="N74" s="84"/>
      <c r="O74" s="86"/>
    </row>
    <row r="75" spans="1:15" x14ac:dyDescent="0.25">
      <c r="A75" s="80"/>
      <c r="B75" s="81"/>
      <c r="C75" s="60"/>
      <c r="D75" s="83">
        <f t="shared" si="4"/>
        <v>0</v>
      </c>
      <c r="E75" s="84"/>
      <c r="F75" s="84"/>
      <c r="G75" s="84"/>
      <c r="H75" s="84"/>
      <c r="I75" s="84"/>
      <c r="J75" s="84"/>
      <c r="K75" s="84"/>
      <c r="L75" s="84"/>
      <c r="M75" s="84"/>
      <c r="N75" s="84"/>
      <c r="O75" s="86"/>
    </row>
    <row r="76" spans="1:15" x14ac:dyDescent="0.25">
      <c r="A76" s="80"/>
      <c r="B76" s="81"/>
      <c r="C76" s="60"/>
      <c r="D76" s="83">
        <f t="shared" si="4"/>
        <v>0</v>
      </c>
      <c r="E76" s="84"/>
      <c r="F76" s="84"/>
      <c r="G76" s="84"/>
      <c r="H76" s="84"/>
      <c r="I76" s="84"/>
      <c r="J76" s="84"/>
      <c r="K76" s="84"/>
      <c r="L76" s="84"/>
      <c r="M76" s="84"/>
      <c r="N76" s="84"/>
      <c r="O76" s="86"/>
    </row>
    <row r="77" spans="1:15" x14ac:dyDescent="0.25">
      <c r="A77" s="80"/>
      <c r="B77" s="81"/>
      <c r="C77" s="60"/>
      <c r="D77" s="83">
        <f t="shared" si="4"/>
        <v>0</v>
      </c>
      <c r="E77" s="84"/>
      <c r="F77" s="84"/>
      <c r="G77" s="84"/>
      <c r="H77" s="84"/>
      <c r="I77" s="84"/>
      <c r="J77" s="84"/>
      <c r="K77" s="84"/>
      <c r="L77" s="84"/>
      <c r="M77" s="84"/>
      <c r="N77" s="84"/>
      <c r="O77" s="86"/>
    </row>
    <row r="78" spans="1:15" x14ac:dyDescent="0.25">
      <c r="A78" s="80"/>
      <c r="B78" s="81"/>
      <c r="C78" s="60"/>
      <c r="D78" s="83">
        <f t="shared" si="4"/>
        <v>0</v>
      </c>
      <c r="E78" s="84"/>
      <c r="F78" s="84"/>
      <c r="G78" s="84"/>
      <c r="H78" s="84"/>
      <c r="I78" s="84"/>
      <c r="J78" s="84"/>
      <c r="K78" s="84"/>
      <c r="L78" s="84"/>
      <c r="M78" s="84"/>
      <c r="N78" s="84"/>
      <c r="O78" s="86"/>
    </row>
    <row r="79" spans="1:15" x14ac:dyDescent="0.25">
      <c r="A79" s="80"/>
      <c r="B79" s="81"/>
      <c r="C79" s="60"/>
      <c r="D79" s="83">
        <f t="shared" si="4"/>
        <v>0</v>
      </c>
      <c r="E79" s="84"/>
      <c r="F79" s="84"/>
      <c r="G79" s="84"/>
      <c r="H79" s="84"/>
      <c r="I79" s="84"/>
      <c r="J79" s="84"/>
      <c r="K79" s="84"/>
      <c r="L79" s="84"/>
      <c r="M79" s="84"/>
      <c r="N79" s="84"/>
      <c r="O79" s="86"/>
    </row>
    <row r="80" spans="1:15" x14ac:dyDescent="0.25">
      <c r="A80" s="80"/>
      <c r="B80" s="81"/>
      <c r="C80" s="60"/>
      <c r="D80" s="83">
        <f t="shared" si="4"/>
        <v>0</v>
      </c>
      <c r="E80" s="84"/>
      <c r="F80" s="84"/>
      <c r="G80" s="84"/>
      <c r="H80" s="84"/>
      <c r="I80" s="84"/>
      <c r="J80" s="84"/>
      <c r="K80" s="84"/>
      <c r="L80" s="84"/>
      <c r="M80" s="84"/>
      <c r="N80" s="84"/>
      <c r="O80" s="86"/>
    </row>
    <row r="81" spans="1:15" x14ac:dyDescent="0.25">
      <c r="A81" s="80"/>
      <c r="B81" s="81"/>
      <c r="C81" s="60"/>
      <c r="D81" s="83">
        <f t="shared" si="4"/>
        <v>0</v>
      </c>
      <c r="E81" s="84"/>
      <c r="F81" s="84"/>
      <c r="G81" s="84"/>
      <c r="H81" s="84"/>
      <c r="I81" s="84"/>
      <c r="J81" s="84"/>
      <c r="K81" s="84"/>
      <c r="L81" s="84"/>
      <c r="M81" s="84"/>
      <c r="N81" s="84"/>
      <c r="O81" s="86"/>
    </row>
    <row r="82" spans="1:15" x14ac:dyDescent="0.25">
      <c r="A82" s="80"/>
      <c r="B82" s="81"/>
      <c r="C82" s="60"/>
      <c r="D82" s="83">
        <f t="shared" si="4"/>
        <v>0</v>
      </c>
      <c r="E82" s="84"/>
      <c r="F82" s="84"/>
      <c r="G82" s="84"/>
      <c r="H82" s="84"/>
      <c r="I82" s="84"/>
      <c r="J82" s="84"/>
      <c r="K82" s="84"/>
      <c r="L82" s="84"/>
      <c r="M82" s="84"/>
      <c r="N82" s="84"/>
      <c r="O82" s="86"/>
    </row>
    <row r="83" spans="1:15" x14ac:dyDescent="0.25">
      <c r="A83" s="80"/>
      <c r="B83" s="81"/>
      <c r="C83" s="60"/>
      <c r="D83" s="83">
        <f t="shared" si="4"/>
        <v>0</v>
      </c>
      <c r="E83" s="84"/>
      <c r="F83" s="84"/>
      <c r="G83" s="84"/>
      <c r="H83" s="84"/>
      <c r="I83" s="84"/>
      <c r="J83" s="84"/>
      <c r="K83" s="84"/>
      <c r="L83" s="84"/>
      <c r="M83" s="84"/>
      <c r="N83" s="84"/>
      <c r="O83" s="86"/>
    </row>
    <row r="84" spans="1:15" x14ac:dyDescent="0.25">
      <c r="A84" s="80"/>
      <c r="B84" s="81"/>
      <c r="C84" s="60"/>
      <c r="D84" s="83">
        <f t="shared" si="4"/>
        <v>0</v>
      </c>
      <c r="E84" s="84"/>
      <c r="F84" s="84"/>
      <c r="G84" s="84"/>
      <c r="H84" s="84"/>
      <c r="I84" s="84"/>
      <c r="J84" s="84"/>
      <c r="K84" s="84"/>
      <c r="L84" s="84"/>
      <c r="M84" s="84"/>
      <c r="N84" s="84"/>
      <c r="O84" s="86"/>
    </row>
    <row r="85" spans="1:15" x14ac:dyDescent="0.25">
      <c r="A85" s="80"/>
      <c r="B85" s="81"/>
      <c r="C85" s="60"/>
      <c r="D85" s="83">
        <f t="shared" si="4"/>
        <v>0</v>
      </c>
      <c r="E85" s="84"/>
      <c r="F85" s="84"/>
      <c r="G85" s="84"/>
      <c r="H85" s="84"/>
      <c r="I85" s="84"/>
      <c r="J85" s="84"/>
      <c r="K85" s="84"/>
      <c r="L85" s="84"/>
      <c r="M85" s="84"/>
      <c r="N85" s="84"/>
      <c r="O85" s="86"/>
    </row>
    <row r="86" spans="1:15" x14ac:dyDescent="0.25">
      <c r="A86" s="135"/>
      <c r="B86" s="81"/>
      <c r="C86" s="60"/>
      <c r="D86" s="83">
        <f t="shared" si="4"/>
        <v>0</v>
      </c>
      <c r="E86" s="84"/>
      <c r="F86" s="84"/>
      <c r="G86" s="84"/>
      <c r="H86" s="84"/>
      <c r="I86" s="84"/>
      <c r="J86" s="84"/>
      <c r="K86" s="84"/>
      <c r="L86" s="84"/>
      <c r="M86" s="84"/>
      <c r="N86" s="84"/>
      <c r="O86" s="86"/>
    </row>
    <row r="87" spans="1:15" ht="13.8" thickBot="1" x14ac:dyDescent="0.3">
      <c r="A87" s="80"/>
      <c r="B87" s="81"/>
      <c r="C87" s="60"/>
      <c r="D87" s="83"/>
      <c r="E87" s="84" t="s">
        <v>11</v>
      </c>
      <c r="F87" s="84"/>
      <c r="G87" s="84"/>
      <c r="H87" s="84"/>
      <c r="I87" s="84"/>
      <c r="J87" s="84"/>
      <c r="K87" s="84"/>
      <c r="L87" s="84"/>
      <c r="M87" s="84"/>
      <c r="N87" s="84"/>
      <c r="O87" s="86"/>
    </row>
    <row r="88" spans="1:15" ht="16.2" thickBot="1" x14ac:dyDescent="0.3">
      <c r="A88" s="87"/>
      <c r="B88" s="88"/>
      <c r="C88" s="89" t="s">
        <v>17</v>
      </c>
      <c r="D88" s="90">
        <f t="shared" ref="D88:J88" si="5">SUM(D73:D87)</f>
        <v>0</v>
      </c>
      <c r="E88" s="91">
        <f t="shared" si="5"/>
        <v>0</v>
      </c>
      <c r="F88" s="91">
        <f t="shared" si="5"/>
        <v>0</v>
      </c>
      <c r="G88" s="91">
        <f t="shared" si="5"/>
        <v>0</v>
      </c>
      <c r="H88" s="91">
        <f t="shared" si="5"/>
        <v>0</v>
      </c>
      <c r="I88" s="91">
        <f t="shared" si="5"/>
        <v>0</v>
      </c>
      <c r="J88" s="91">
        <f t="shared" si="5"/>
        <v>0</v>
      </c>
      <c r="K88" s="91">
        <f>SUM(K73:K87)</f>
        <v>0</v>
      </c>
      <c r="L88" s="91">
        <f>SUM(L73:L87)</f>
        <v>0</v>
      </c>
      <c r="M88" s="91">
        <f>SUM(M73:M87)</f>
        <v>0</v>
      </c>
      <c r="N88" s="91">
        <f>SUM(N73:N87)</f>
        <v>0</v>
      </c>
      <c r="O88" s="92">
        <f>SUM(O73:O87)</f>
        <v>0</v>
      </c>
    </row>
    <row r="89" spans="1:15" ht="15.6" x14ac:dyDescent="0.25">
      <c r="A89" s="87"/>
      <c r="B89" s="93"/>
      <c r="C89" s="93"/>
      <c r="D89" s="93"/>
      <c r="E89" s="93"/>
      <c r="F89" s="93"/>
      <c r="G89" s="93"/>
      <c r="H89" s="93"/>
      <c r="I89" s="93"/>
      <c r="J89" s="93"/>
      <c r="K89" s="93"/>
      <c r="L89" s="93"/>
      <c r="M89" s="93"/>
      <c r="N89" s="93"/>
      <c r="O89" s="136" t="s">
        <v>41</v>
      </c>
    </row>
    <row r="90" spans="1:15" ht="16.2" thickBot="1" x14ac:dyDescent="0.3">
      <c r="A90" s="97"/>
      <c r="B90" s="72"/>
      <c r="C90" s="72" t="s">
        <v>71</v>
      </c>
      <c r="D90" s="98">
        <f>SUM(E88:O88)-D88</f>
        <v>0</v>
      </c>
      <c r="E90" s="253" t="str">
        <f>IF(D90=0,"","ERROR - figures do not add across")</f>
        <v/>
      </c>
      <c r="F90" s="72"/>
      <c r="G90" s="72"/>
      <c r="H90" s="72"/>
      <c r="I90" s="72"/>
      <c r="J90" s="72"/>
      <c r="K90" s="72"/>
      <c r="L90" s="72"/>
      <c r="M90" s="72"/>
      <c r="N90" s="72"/>
      <c r="O90" s="137"/>
    </row>
  </sheetData>
  <customSheetViews>
    <customSheetView guid="{93A5533C-1BF0-4CFD-B527-DBAD1AD08F71}" fitToPage="1" showRuler="0">
      <selection activeCell="B13" sqref="B13"/>
      <pageMargins left="0.59055118110236227" right="0.15748031496062992" top="0.59055118110236227" bottom="0.59055118110236227" header="0.31496062992125984" footer="0.31496062992125984"/>
      <printOptions horizontalCentered="1"/>
      <pageSetup paperSize="9" scale="58" orientation="portrait" r:id="rId1"/>
      <headerFooter alignWithMargins="0">
        <oddHeader>&amp;C&amp;A</oddHeader>
        <oddFooter>&amp;L&amp;F&amp;CPage &amp;P&amp;R&amp;D</oddFooter>
      </headerFooter>
    </customSheetView>
  </customSheetViews>
  <phoneticPr fontId="0" type="noConversion"/>
  <printOptions horizontalCentered="1"/>
  <pageMargins left="0.59055118110236227" right="0.39370078740157483" top="0.59055118110236227" bottom="0.59055118110236227" header="0.31496062992125984" footer="0.31496062992125984"/>
  <pageSetup paperSize="9" scale="59" orientation="portrait" r:id="rId2"/>
  <headerFooter alignWithMargins="0">
    <oddHeader>&amp;C&amp;A</oddHeader>
    <oddFooter>&amp;L&amp;Z&amp;F\&amp;A&amp;CPage &amp;P&amp;R&amp;D  &amp;T</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O90"/>
  <sheetViews>
    <sheetView zoomScale="85" workbookViewId="0">
      <selection activeCell="A7" sqref="A7"/>
    </sheetView>
  </sheetViews>
  <sheetFormatPr defaultColWidth="9.109375" defaultRowHeight="13.2" x14ac:dyDescent="0.25"/>
  <cols>
    <col min="1" max="1" width="10" style="66" customWidth="1"/>
    <col min="2" max="2" width="4.5546875" style="66" customWidth="1"/>
    <col min="3" max="3" width="25.6640625" style="66" customWidth="1"/>
    <col min="4" max="4" width="10.109375" style="66" customWidth="1"/>
    <col min="5" max="5" width="10" style="66" bestFit="1" customWidth="1"/>
    <col min="6" max="6" width="12.5546875" style="66" bestFit="1" customWidth="1"/>
    <col min="7" max="7" width="9.88671875" style="66" bestFit="1" customWidth="1"/>
    <col min="8" max="8" width="11.44140625" style="66" bestFit="1" customWidth="1"/>
    <col min="9" max="9" width="10.88671875" style="66" bestFit="1" customWidth="1"/>
    <col min="10" max="10" width="10.6640625" style="66" bestFit="1" customWidth="1"/>
    <col min="11" max="11" width="9.109375" style="66"/>
    <col min="12" max="12" width="7.109375" style="66" customWidth="1"/>
    <col min="13" max="13" width="8.88671875" style="66" customWidth="1"/>
    <col min="14" max="14" width="9.88671875" style="66" bestFit="1" customWidth="1"/>
    <col min="15" max="15" width="9.5546875" style="66" bestFit="1" customWidth="1"/>
    <col min="16" max="16384" width="9.109375" style="66"/>
  </cols>
  <sheetData>
    <row r="1" spans="1:15" ht="16.2" thickBot="1" x14ac:dyDescent="0.3">
      <c r="A1" s="63" t="str">
        <f>'Company Info'!B5</f>
        <v>ABC Limited</v>
      </c>
      <c r="B1" s="64"/>
      <c r="C1" s="64"/>
      <c r="D1" s="65"/>
    </row>
    <row r="2" spans="1:15" ht="13.8" thickBot="1" x14ac:dyDescent="0.3"/>
    <row r="3" spans="1:15" ht="18" thickBot="1" x14ac:dyDescent="0.3">
      <c r="A3" s="67" t="s">
        <v>9</v>
      </c>
      <c r="B3" s="61"/>
      <c r="C3" s="61"/>
      <c r="D3" s="68"/>
      <c r="E3" s="68"/>
      <c r="F3" s="68"/>
      <c r="G3" s="68"/>
      <c r="H3" s="68"/>
      <c r="I3" s="68"/>
      <c r="J3" s="68"/>
      <c r="K3" s="68"/>
      <c r="L3" s="68"/>
      <c r="M3" s="68"/>
      <c r="N3" s="239" t="s">
        <v>10</v>
      </c>
      <c r="O3" s="70">
        <f>+'Month 12'!O3-31</f>
        <v>40968</v>
      </c>
    </row>
    <row r="4" spans="1:15" ht="13.8" thickBot="1" x14ac:dyDescent="0.3">
      <c r="A4" s="71"/>
      <c r="B4" s="68"/>
      <c r="C4" s="68"/>
      <c r="D4" s="72"/>
      <c r="E4" s="72"/>
      <c r="F4" s="72"/>
      <c r="G4" s="72"/>
      <c r="H4" s="72"/>
      <c r="N4" s="68"/>
      <c r="O4" s="73"/>
    </row>
    <row r="5" spans="1:15" s="79" customFormat="1" ht="26.25" customHeight="1" thickBot="1" x14ac:dyDescent="0.3">
      <c r="A5" s="74" t="s">
        <v>12</v>
      </c>
      <c r="B5" s="75" t="s">
        <v>130</v>
      </c>
      <c r="C5" s="76" t="s">
        <v>123</v>
      </c>
      <c r="D5" s="75" t="s">
        <v>13</v>
      </c>
      <c r="E5" s="77" t="str">
        <f>'Month 10'!E5</f>
        <v>Net Sales</v>
      </c>
      <c r="F5" s="77" t="str">
        <f>'Month 10'!F5</f>
        <v>Expenses Reimbursed</v>
      </c>
      <c r="G5" s="77" t="str">
        <f>'Month 10'!G5</f>
        <v>VAT</v>
      </c>
      <c r="H5" s="77" t="str">
        <f>'Month 10'!H5</f>
        <v>Interest Received</v>
      </c>
      <c r="I5" s="77" t="str">
        <f>'Month 10'!I5</f>
        <v>Tax Refunds</v>
      </c>
      <c r="J5" s="77" t="str">
        <f>'Month 10'!J5</f>
        <v>Company Dep A/C</v>
      </c>
      <c r="K5" s="77">
        <f>'Month 10'!K5</f>
        <v>0</v>
      </c>
      <c r="L5" s="77">
        <f>'Month 10'!L5</f>
        <v>0</v>
      </c>
      <c r="M5" s="77">
        <f>'Month 10'!M5</f>
        <v>0</v>
      </c>
      <c r="N5" s="77">
        <f>'Month 10'!N5</f>
        <v>0</v>
      </c>
      <c r="O5" s="78" t="str">
        <f>'Month 10'!O5</f>
        <v>Sundries</v>
      </c>
    </row>
    <row r="6" spans="1:15" x14ac:dyDescent="0.25">
      <c r="A6" s="80"/>
      <c r="B6" s="81"/>
      <c r="C6" s="60"/>
      <c r="D6" s="83">
        <f t="shared" ref="D6:D17" si="0">SUM(E6:O6)</f>
        <v>0</v>
      </c>
      <c r="E6" s="84"/>
      <c r="F6" s="84"/>
      <c r="G6" s="84"/>
      <c r="H6" s="84"/>
      <c r="I6" s="84"/>
      <c r="J6" s="84"/>
      <c r="K6" s="84"/>
      <c r="L6" s="84"/>
      <c r="M6" s="84"/>
      <c r="N6" s="84"/>
      <c r="O6" s="86"/>
    </row>
    <row r="7" spans="1:15" x14ac:dyDescent="0.25">
      <c r="A7" s="80"/>
      <c r="B7" s="81"/>
      <c r="C7" s="60"/>
      <c r="D7" s="83">
        <f t="shared" si="0"/>
        <v>0</v>
      </c>
      <c r="E7" s="84"/>
      <c r="F7" s="84"/>
      <c r="G7" s="84"/>
      <c r="H7" s="84"/>
      <c r="I7" s="84"/>
      <c r="J7" s="84"/>
      <c r="K7" s="84"/>
      <c r="L7" s="84"/>
      <c r="M7" s="84"/>
      <c r="N7" s="84"/>
      <c r="O7" s="86"/>
    </row>
    <row r="8" spans="1:15" x14ac:dyDescent="0.25">
      <c r="A8" s="80"/>
      <c r="B8" s="81"/>
      <c r="C8" s="60"/>
      <c r="D8" s="83">
        <f t="shared" si="0"/>
        <v>0</v>
      </c>
      <c r="E8" s="84"/>
      <c r="F8" s="84"/>
      <c r="G8" s="84"/>
      <c r="H8" s="84"/>
      <c r="I8" s="84"/>
      <c r="J8" s="84"/>
      <c r="K8" s="84"/>
      <c r="L8" s="84"/>
      <c r="M8" s="84"/>
      <c r="N8" s="84"/>
      <c r="O8" s="86"/>
    </row>
    <row r="9" spans="1:15" x14ac:dyDescent="0.25">
      <c r="A9" s="80"/>
      <c r="B9" s="81"/>
      <c r="C9" s="60"/>
      <c r="D9" s="83">
        <f t="shared" si="0"/>
        <v>0</v>
      </c>
      <c r="E9" s="84"/>
      <c r="F9" s="84"/>
      <c r="G9" s="84"/>
      <c r="H9" s="84"/>
      <c r="I9" s="84"/>
      <c r="J9" s="84"/>
      <c r="K9" s="84"/>
      <c r="L9" s="84"/>
      <c r="M9" s="84"/>
      <c r="N9" s="84"/>
      <c r="O9" s="86"/>
    </row>
    <row r="10" spans="1:15" x14ac:dyDescent="0.25">
      <c r="A10" s="80"/>
      <c r="B10" s="81"/>
      <c r="C10" s="60"/>
      <c r="D10" s="83">
        <f t="shared" si="0"/>
        <v>0</v>
      </c>
      <c r="E10" s="84"/>
      <c r="F10" s="84"/>
      <c r="G10" s="84"/>
      <c r="H10" s="84"/>
      <c r="I10" s="84"/>
      <c r="J10" s="84"/>
      <c r="K10" s="84"/>
      <c r="L10" s="84"/>
      <c r="M10" s="84"/>
      <c r="N10" s="84"/>
      <c r="O10" s="86"/>
    </row>
    <row r="11" spans="1:15" x14ac:dyDescent="0.25">
      <c r="A11" s="80"/>
      <c r="B11" s="81"/>
      <c r="C11" s="60"/>
      <c r="D11" s="83">
        <f t="shared" si="0"/>
        <v>0</v>
      </c>
      <c r="E11" s="84"/>
      <c r="F11" s="84"/>
      <c r="G11" s="84"/>
      <c r="H11" s="84"/>
      <c r="I11" s="84"/>
      <c r="J11" s="84"/>
      <c r="K11" s="84"/>
      <c r="L11" s="84"/>
      <c r="M11" s="84"/>
      <c r="N11" s="84"/>
      <c r="O11" s="86"/>
    </row>
    <row r="12" spans="1:15" x14ac:dyDescent="0.25">
      <c r="A12" s="80"/>
      <c r="B12" s="81"/>
      <c r="C12" s="60"/>
      <c r="D12" s="83">
        <f t="shared" si="0"/>
        <v>0</v>
      </c>
      <c r="E12" s="84"/>
      <c r="F12" s="84"/>
      <c r="G12" s="84"/>
      <c r="H12" s="84"/>
      <c r="I12" s="84"/>
      <c r="J12" s="84"/>
      <c r="K12" s="84"/>
      <c r="L12" s="84"/>
      <c r="M12" s="84"/>
      <c r="N12" s="84"/>
      <c r="O12" s="86"/>
    </row>
    <row r="13" spans="1:15" x14ac:dyDescent="0.25">
      <c r="A13" s="80"/>
      <c r="B13" s="81"/>
      <c r="C13" s="60"/>
      <c r="D13" s="83">
        <f t="shared" si="0"/>
        <v>0</v>
      </c>
      <c r="E13" s="84"/>
      <c r="F13" s="84"/>
      <c r="G13" s="84"/>
      <c r="H13" s="84"/>
      <c r="I13" s="84"/>
      <c r="J13" s="84"/>
      <c r="K13" s="84"/>
      <c r="L13" s="84"/>
      <c r="M13" s="84"/>
      <c r="N13" s="84"/>
      <c r="O13" s="86"/>
    </row>
    <row r="14" spans="1:15" x14ac:dyDescent="0.25">
      <c r="A14" s="80"/>
      <c r="B14" s="81"/>
      <c r="C14" s="60"/>
      <c r="D14" s="83">
        <f t="shared" si="0"/>
        <v>0</v>
      </c>
      <c r="E14" s="84"/>
      <c r="F14" s="84"/>
      <c r="G14" s="84"/>
      <c r="H14" s="84"/>
      <c r="I14" s="84"/>
      <c r="J14" s="84"/>
      <c r="K14" s="84"/>
      <c r="L14" s="84"/>
      <c r="M14" s="84"/>
      <c r="N14" s="84"/>
      <c r="O14" s="86"/>
    </row>
    <row r="15" spans="1:15" x14ac:dyDescent="0.25">
      <c r="A15" s="80"/>
      <c r="B15" s="81"/>
      <c r="C15" s="60"/>
      <c r="D15" s="83">
        <f t="shared" si="0"/>
        <v>0</v>
      </c>
      <c r="E15" s="84"/>
      <c r="F15" s="84"/>
      <c r="G15" s="84"/>
      <c r="H15" s="84"/>
      <c r="I15" s="84"/>
      <c r="J15" s="84"/>
      <c r="K15" s="84"/>
      <c r="L15" s="84"/>
      <c r="M15" s="84"/>
      <c r="N15" s="84"/>
      <c r="O15" s="86"/>
    </row>
    <row r="16" spans="1:15" x14ac:dyDescent="0.25">
      <c r="A16" s="80"/>
      <c r="B16" s="81"/>
      <c r="C16" s="60"/>
      <c r="D16" s="83">
        <f t="shared" si="0"/>
        <v>0</v>
      </c>
      <c r="E16" s="84"/>
      <c r="F16" s="84"/>
      <c r="G16" s="84"/>
      <c r="H16" s="84"/>
      <c r="I16" s="84"/>
      <c r="J16" s="84"/>
      <c r="K16" s="84"/>
      <c r="L16" s="84"/>
      <c r="M16" s="84"/>
      <c r="N16" s="84"/>
      <c r="O16" s="86"/>
    </row>
    <row r="17" spans="1:15" x14ac:dyDescent="0.25">
      <c r="A17" s="80"/>
      <c r="B17" s="81"/>
      <c r="C17" s="60"/>
      <c r="D17" s="83">
        <f t="shared" si="0"/>
        <v>0</v>
      </c>
      <c r="E17" s="84"/>
      <c r="F17" s="84"/>
      <c r="G17" s="84"/>
      <c r="H17" s="84"/>
      <c r="I17" s="84"/>
      <c r="J17" s="84"/>
      <c r="K17" s="84"/>
      <c r="L17" s="84"/>
      <c r="M17" s="84"/>
      <c r="N17" s="84"/>
      <c r="O17" s="86"/>
    </row>
    <row r="18" spans="1:15" ht="13.8" thickBot="1" x14ac:dyDescent="0.3">
      <c r="A18" s="80"/>
      <c r="B18" s="81"/>
      <c r="C18" s="60"/>
      <c r="D18" s="83"/>
      <c r="E18" s="84"/>
      <c r="F18" s="84"/>
      <c r="G18" s="84"/>
      <c r="H18" s="84"/>
      <c r="I18" s="19"/>
      <c r="J18" s="19"/>
      <c r="K18" s="19"/>
      <c r="L18" s="19"/>
      <c r="M18" s="19"/>
      <c r="N18" s="85"/>
      <c r="O18" s="86"/>
    </row>
    <row r="19" spans="1:15" ht="16.2" thickBot="1" x14ac:dyDescent="0.3">
      <c r="A19" s="87"/>
      <c r="B19" s="88"/>
      <c r="C19" s="89" t="s">
        <v>17</v>
      </c>
      <c r="D19" s="90">
        <f t="shared" ref="D19:O19" si="1">SUM(D6:D18)</f>
        <v>0</v>
      </c>
      <c r="E19" s="91">
        <f t="shared" si="1"/>
        <v>0</v>
      </c>
      <c r="F19" s="91">
        <f t="shared" si="1"/>
        <v>0</v>
      </c>
      <c r="G19" s="91">
        <f t="shared" si="1"/>
        <v>0</v>
      </c>
      <c r="H19" s="91">
        <f t="shared" si="1"/>
        <v>0</v>
      </c>
      <c r="I19" s="91">
        <f t="shared" si="1"/>
        <v>0</v>
      </c>
      <c r="J19" s="91">
        <f t="shared" si="1"/>
        <v>0</v>
      </c>
      <c r="K19" s="91">
        <f t="shared" si="1"/>
        <v>0</v>
      </c>
      <c r="L19" s="91">
        <f t="shared" si="1"/>
        <v>0</v>
      </c>
      <c r="M19" s="91">
        <f t="shared" si="1"/>
        <v>0</v>
      </c>
      <c r="N19" s="91">
        <f t="shared" si="1"/>
        <v>0</v>
      </c>
      <c r="O19" s="92">
        <f t="shared" si="1"/>
        <v>0</v>
      </c>
    </row>
    <row r="20" spans="1:15" ht="12.75" customHeight="1" x14ac:dyDescent="0.25">
      <c r="A20" s="87"/>
      <c r="B20" s="93"/>
      <c r="C20" s="93"/>
      <c r="D20" s="236" t="s">
        <v>18</v>
      </c>
      <c r="E20" s="236" t="s">
        <v>19</v>
      </c>
      <c r="F20" s="236" t="s">
        <v>19</v>
      </c>
      <c r="G20" s="237" t="s">
        <v>20</v>
      </c>
      <c r="H20" s="93"/>
      <c r="N20" s="93"/>
      <c r="O20" s="103"/>
    </row>
    <row r="21" spans="1:15" ht="13.8" thickBot="1" x14ac:dyDescent="0.3">
      <c r="A21" s="97"/>
      <c r="B21" s="72"/>
      <c r="C21" s="72" t="s">
        <v>71</v>
      </c>
      <c r="D21" s="98">
        <f>SUM(E19:O19)-D19</f>
        <v>0</v>
      </c>
      <c r="E21" s="253" t="str">
        <f>IF(D21=0,"","ERROR - figures do not add across")</f>
        <v/>
      </c>
      <c r="F21" s="72"/>
      <c r="G21" s="72"/>
      <c r="H21" s="72"/>
      <c r="I21" s="72"/>
      <c r="J21" s="72"/>
      <c r="K21" s="72"/>
      <c r="L21" s="72"/>
      <c r="M21" s="72"/>
      <c r="N21" s="72"/>
      <c r="O21" s="99"/>
    </row>
    <row r="23" spans="1:15" ht="13.8" thickBot="1" x14ac:dyDescent="0.3"/>
    <row r="24" spans="1:15" ht="18" thickBot="1" x14ac:dyDescent="0.3">
      <c r="A24" s="100" t="s">
        <v>21</v>
      </c>
      <c r="B24" s="101"/>
      <c r="C24" s="61"/>
      <c r="D24" s="68"/>
      <c r="E24" s="68"/>
      <c r="F24" s="68"/>
      <c r="G24" s="68"/>
      <c r="H24" s="68"/>
      <c r="I24" s="68"/>
      <c r="J24" s="68"/>
      <c r="K24" s="68"/>
      <c r="L24" s="68"/>
      <c r="M24" s="68"/>
      <c r="N24" s="239" t="s">
        <v>10</v>
      </c>
      <c r="O24" s="70">
        <f>O3</f>
        <v>40968</v>
      </c>
    </row>
    <row r="25" spans="1:15" ht="13.8" thickBot="1" x14ac:dyDescent="0.3">
      <c r="A25" s="102"/>
      <c r="B25" s="93"/>
      <c r="C25" s="93"/>
      <c r="D25" s="93"/>
      <c r="E25" s="93"/>
      <c r="F25" s="93"/>
      <c r="G25" s="93"/>
      <c r="H25" s="93"/>
      <c r="I25" s="93"/>
      <c r="J25" s="93"/>
      <c r="K25" s="93"/>
      <c r="L25" s="93"/>
      <c r="M25" s="93"/>
      <c r="N25" s="93"/>
      <c r="O25" s="103"/>
    </row>
    <row r="26" spans="1:15" s="79" customFormat="1" ht="27" customHeight="1" thickBot="1" x14ac:dyDescent="0.3">
      <c r="A26" s="104" t="s">
        <v>12</v>
      </c>
      <c r="B26" s="75" t="s">
        <v>68</v>
      </c>
      <c r="C26" s="105" t="s">
        <v>123</v>
      </c>
      <c r="D26" s="106" t="s">
        <v>63</v>
      </c>
      <c r="E26" s="107" t="str">
        <f>'Month 10'!E26</f>
        <v>PAYE/NI</v>
      </c>
      <c r="F26" s="107" t="str">
        <f>'Month 10'!F26</f>
        <v>Net Wages</v>
      </c>
      <c r="G26" s="107" t="str">
        <f>'Month 10'!G26</f>
        <v>Dividends</v>
      </c>
      <c r="H26" s="107" t="str">
        <f>'Month 10'!H26</f>
        <v>Company Dep A/C</v>
      </c>
      <c r="I26" s="107" t="str">
        <f>'Month 10'!I26</f>
        <v>Company Pension</v>
      </c>
      <c r="J26" s="107" t="str">
        <f>'Month 10'!J26</f>
        <v>Motor &amp; Travel</v>
      </c>
      <c r="K26" s="107" t="str">
        <f>'Month 10'!K26</f>
        <v>Standing Orders</v>
      </c>
      <c r="L26" s="107" t="str">
        <f>'Month 10'!L26</f>
        <v>Petty Cash</v>
      </c>
      <c r="M26" s="107" t="s">
        <v>143</v>
      </c>
      <c r="N26" s="107" t="str">
        <f>'Month 10'!N26</f>
        <v>Sundries</v>
      </c>
      <c r="O26" s="78" t="s">
        <v>142</v>
      </c>
    </row>
    <row r="27" spans="1:15" x14ac:dyDescent="0.25">
      <c r="A27" s="80"/>
      <c r="B27" s="81"/>
      <c r="C27" s="60"/>
      <c r="D27" s="83">
        <f t="shared" ref="D27:D40" si="2">SUM(E27:O27)</f>
        <v>0</v>
      </c>
      <c r="E27" s="84"/>
      <c r="F27" s="84"/>
      <c r="G27" s="84"/>
      <c r="H27" s="84"/>
      <c r="I27" s="84"/>
      <c r="J27" s="84"/>
      <c r="K27" s="84"/>
      <c r="L27" s="84"/>
      <c r="M27" s="84"/>
      <c r="N27" s="84"/>
      <c r="O27" s="86"/>
    </row>
    <row r="28" spans="1:15" x14ac:dyDescent="0.25">
      <c r="A28" s="80"/>
      <c r="B28" s="81"/>
      <c r="C28" s="60"/>
      <c r="D28" s="83">
        <f t="shared" si="2"/>
        <v>0</v>
      </c>
      <c r="E28" s="84"/>
      <c r="F28" s="84"/>
      <c r="G28" s="84"/>
      <c r="H28" s="84"/>
      <c r="I28" s="84"/>
      <c r="J28" s="84"/>
      <c r="K28" s="84"/>
      <c r="L28" s="84"/>
      <c r="M28" s="84"/>
      <c r="N28" s="84"/>
      <c r="O28" s="86"/>
    </row>
    <row r="29" spans="1:15" x14ac:dyDescent="0.25">
      <c r="A29" s="80"/>
      <c r="B29" s="81"/>
      <c r="C29" s="60"/>
      <c r="D29" s="83">
        <f t="shared" si="2"/>
        <v>0</v>
      </c>
      <c r="E29" s="84"/>
      <c r="F29" s="84"/>
      <c r="G29" s="84"/>
      <c r="H29" s="84"/>
      <c r="I29" s="84"/>
      <c r="J29" s="84"/>
      <c r="K29" s="84"/>
      <c r="L29" s="84"/>
      <c r="M29" s="84"/>
      <c r="N29" s="84"/>
      <c r="O29" s="86"/>
    </row>
    <row r="30" spans="1:15" x14ac:dyDescent="0.25">
      <c r="A30" s="80"/>
      <c r="B30" s="81"/>
      <c r="C30" s="60"/>
      <c r="D30" s="83">
        <f t="shared" si="2"/>
        <v>0</v>
      </c>
      <c r="E30" s="84"/>
      <c r="F30" s="84"/>
      <c r="G30" s="84"/>
      <c r="H30" s="84"/>
      <c r="I30" s="84"/>
      <c r="J30" s="84"/>
      <c r="K30" s="84"/>
      <c r="L30" s="84"/>
      <c r="M30" s="84"/>
      <c r="N30" s="84"/>
      <c r="O30" s="86"/>
    </row>
    <row r="31" spans="1:15" x14ac:dyDescent="0.25">
      <c r="A31" s="80"/>
      <c r="B31" s="81"/>
      <c r="C31" s="60"/>
      <c r="D31" s="83">
        <f t="shared" si="2"/>
        <v>0</v>
      </c>
      <c r="E31" s="84"/>
      <c r="F31" s="84"/>
      <c r="G31" s="84"/>
      <c r="H31" s="84"/>
      <c r="I31" s="84"/>
      <c r="J31" s="84"/>
      <c r="K31" s="84"/>
      <c r="L31" s="84"/>
      <c r="M31" s="84"/>
      <c r="N31" s="84"/>
      <c r="O31" s="86"/>
    </row>
    <row r="32" spans="1:15" x14ac:dyDescent="0.25">
      <c r="A32" s="80"/>
      <c r="B32" s="81"/>
      <c r="C32" s="60"/>
      <c r="D32" s="83">
        <f t="shared" si="2"/>
        <v>0</v>
      </c>
      <c r="E32" s="84"/>
      <c r="F32" s="84"/>
      <c r="G32" s="84"/>
      <c r="H32" s="84"/>
      <c r="I32" s="84"/>
      <c r="J32" s="84"/>
      <c r="K32" s="84"/>
      <c r="L32" s="84"/>
      <c r="M32" s="84"/>
      <c r="N32" s="84"/>
      <c r="O32" s="86"/>
    </row>
    <row r="33" spans="1:15" x14ac:dyDescent="0.25">
      <c r="A33" s="80"/>
      <c r="B33" s="81"/>
      <c r="C33" s="60"/>
      <c r="D33" s="83">
        <f t="shared" si="2"/>
        <v>0</v>
      </c>
      <c r="E33" s="84"/>
      <c r="F33" s="84"/>
      <c r="G33" s="84"/>
      <c r="H33" s="84"/>
      <c r="I33" s="84"/>
      <c r="J33" s="84"/>
      <c r="K33" s="84"/>
      <c r="L33" s="84"/>
      <c r="M33" s="84"/>
      <c r="N33" s="84"/>
      <c r="O33" s="86"/>
    </row>
    <row r="34" spans="1:15" x14ac:dyDescent="0.25">
      <c r="A34" s="80"/>
      <c r="B34" s="81"/>
      <c r="C34" s="60"/>
      <c r="D34" s="83">
        <f t="shared" si="2"/>
        <v>0</v>
      </c>
      <c r="E34" s="84"/>
      <c r="F34" s="84"/>
      <c r="G34" s="84"/>
      <c r="H34" s="84"/>
      <c r="I34" s="84"/>
      <c r="J34" s="84"/>
      <c r="K34" s="84"/>
      <c r="L34" s="84"/>
      <c r="M34" s="84"/>
      <c r="N34" s="84"/>
      <c r="O34" s="86"/>
    </row>
    <row r="35" spans="1:15" x14ac:dyDescent="0.25">
      <c r="A35" s="80"/>
      <c r="B35" s="81"/>
      <c r="C35" s="60"/>
      <c r="D35" s="83">
        <f t="shared" si="2"/>
        <v>0</v>
      </c>
      <c r="E35" s="84"/>
      <c r="F35" s="84"/>
      <c r="G35" s="84"/>
      <c r="H35" s="84"/>
      <c r="I35" s="84"/>
      <c r="J35" s="84"/>
      <c r="K35" s="84"/>
      <c r="L35" s="84"/>
      <c r="M35" s="84"/>
      <c r="N35" s="84"/>
      <c r="O35" s="86"/>
    </row>
    <row r="36" spans="1:15" x14ac:dyDescent="0.25">
      <c r="A36" s="80"/>
      <c r="B36" s="81"/>
      <c r="C36" s="60"/>
      <c r="D36" s="83">
        <f t="shared" si="2"/>
        <v>0</v>
      </c>
      <c r="E36" s="84"/>
      <c r="F36" s="84"/>
      <c r="G36" s="84"/>
      <c r="H36" s="84"/>
      <c r="I36" s="84"/>
      <c r="J36" s="84"/>
      <c r="K36" s="84"/>
      <c r="L36" s="84"/>
      <c r="M36" s="84"/>
      <c r="N36" s="84"/>
      <c r="O36" s="86"/>
    </row>
    <row r="37" spans="1:15" x14ac:dyDescent="0.25">
      <c r="A37" s="80"/>
      <c r="B37" s="81"/>
      <c r="C37" s="60"/>
      <c r="D37" s="83">
        <f t="shared" si="2"/>
        <v>0</v>
      </c>
      <c r="E37" s="84"/>
      <c r="F37" s="84"/>
      <c r="G37" s="84"/>
      <c r="H37" s="84"/>
      <c r="I37" s="84"/>
      <c r="J37" s="84"/>
      <c r="K37" s="84"/>
      <c r="L37" s="84"/>
      <c r="M37" s="84"/>
      <c r="N37" s="84"/>
      <c r="O37" s="86"/>
    </row>
    <row r="38" spans="1:15" x14ac:dyDescent="0.25">
      <c r="A38" s="80"/>
      <c r="B38" s="81"/>
      <c r="C38" s="60"/>
      <c r="D38" s="83">
        <f t="shared" si="2"/>
        <v>0</v>
      </c>
      <c r="E38" s="84"/>
      <c r="F38" s="84"/>
      <c r="G38" s="84"/>
      <c r="H38" s="84"/>
      <c r="I38" s="84"/>
      <c r="J38" s="84"/>
      <c r="K38" s="84"/>
      <c r="L38" s="84"/>
      <c r="M38" s="84"/>
      <c r="N38" s="84"/>
      <c r="O38" s="86"/>
    </row>
    <row r="39" spans="1:15" x14ac:dyDescent="0.25">
      <c r="A39" s="80"/>
      <c r="B39" s="81"/>
      <c r="C39" s="60"/>
      <c r="D39" s="83">
        <f t="shared" si="2"/>
        <v>0</v>
      </c>
      <c r="E39" s="84"/>
      <c r="F39" s="84"/>
      <c r="G39" s="84"/>
      <c r="H39" s="84"/>
      <c r="I39" s="84"/>
      <c r="J39" s="84"/>
      <c r="K39" s="84"/>
      <c r="L39" s="84"/>
      <c r="M39" s="84"/>
      <c r="N39" s="84"/>
      <c r="O39" s="86"/>
    </row>
    <row r="40" spans="1:15" x14ac:dyDescent="0.25">
      <c r="A40" s="80"/>
      <c r="B40" s="81"/>
      <c r="C40" s="60"/>
      <c r="D40" s="83">
        <f t="shared" si="2"/>
        <v>0</v>
      </c>
      <c r="E40" s="84"/>
      <c r="F40" s="84"/>
      <c r="G40" s="84"/>
      <c r="H40" s="84"/>
      <c r="I40" s="84"/>
      <c r="J40" s="84"/>
      <c r="K40" s="84"/>
      <c r="L40" s="84"/>
      <c r="M40" s="84"/>
      <c r="N40" s="84"/>
      <c r="O40" s="86"/>
    </row>
    <row r="41" spans="1:15" ht="13.8" thickBot="1" x14ac:dyDescent="0.3">
      <c r="A41" s="80"/>
      <c r="B41" s="81"/>
      <c r="C41" s="60"/>
      <c r="D41" s="83"/>
      <c r="E41" s="84"/>
      <c r="F41" s="84"/>
      <c r="G41" s="84"/>
      <c r="H41" s="84"/>
      <c r="I41" s="84"/>
      <c r="J41" s="84"/>
      <c r="K41" s="84"/>
      <c r="L41" s="84"/>
      <c r="M41" s="84"/>
      <c r="N41" s="84"/>
      <c r="O41" s="86"/>
    </row>
    <row r="42" spans="1:15" ht="16.2" thickBot="1" x14ac:dyDescent="0.3">
      <c r="A42" s="87"/>
      <c r="B42" s="88"/>
      <c r="C42" s="89" t="s">
        <v>17</v>
      </c>
      <c r="D42" s="90">
        <f t="shared" ref="D42:O42" si="3">SUM(D27:D41)</f>
        <v>0</v>
      </c>
      <c r="E42" s="91">
        <f t="shared" si="3"/>
        <v>0</v>
      </c>
      <c r="F42" s="91">
        <f t="shared" si="3"/>
        <v>0</v>
      </c>
      <c r="G42" s="91">
        <f t="shared" si="3"/>
        <v>0</v>
      </c>
      <c r="H42" s="91">
        <f t="shared" si="3"/>
        <v>0</v>
      </c>
      <c r="I42" s="91">
        <f t="shared" si="3"/>
        <v>0</v>
      </c>
      <c r="J42" s="91">
        <f t="shared" si="3"/>
        <v>0</v>
      </c>
      <c r="K42" s="91">
        <f>SUM(K27:K41)</f>
        <v>0</v>
      </c>
      <c r="L42" s="91">
        <f>SUM(L27:L41)</f>
        <v>0</v>
      </c>
      <c r="M42" s="91">
        <f t="shared" si="3"/>
        <v>0</v>
      </c>
      <c r="N42" s="91">
        <f t="shared" si="3"/>
        <v>0</v>
      </c>
      <c r="O42" s="92">
        <f t="shared" si="3"/>
        <v>0</v>
      </c>
    </row>
    <row r="43" spans="1:15" ht="13.8" x14ac:dyDescent="0.25">
      <c r="A43" s="87"/>
      <c r="B43" s="93"/>
      <c r="C43" s="93"/>
      <c r="D43" s="94" t="s">
        <v>26</v>
      </c>
      <c r="E43" s="93"/>
      <c r="F43" s="93"/>
      <c r="G43" s="93"/>
      <c r="H43" s="93"/>
      <c r="I43" s="93"/>
      <c r="J43" s="93"/>
      <c r="K43" s="93"/>
      <c r="L43" s="93"/>
      <c r="M43" s="93"/>
      <c r="N43" s="93"/>
      <c r="O43" s="108" t="s">
        <v>27</v>
      </c>
    </row>
    <row r="44" spans="1:15" ht="13.8" thickBot="1" x14ac:dyDescent="0.3">
      <c r="A44" s="97"/>
      <c r="B44" s="72"/>
      <c r="C44" s="72" t="s">
        <v>71</v>
      </c>
      <c r="D44" s="98">
        <f>SUM(E42:O42)-D42</f>
        <v>0</v>
      </c>
      <c r="E44" s="253" t="str">
        <f>IF(D44=0,"","ERROR - figures do not add across")</f>
        <v/>
      </c>
      <c r="F44" s="72"/>
      <c r="G44" s="72"/>
      <c r="H44" s="72"/>
      <c r="I44" s="72"/>
      <c r="J44" s="72"/>
      <c r="K44" s="72"/>
      <c r="L44" s="72"/>
      <c r="M44" s="72"/>
      <c r="N44" s="72"/>
      <c r="O44" s="99"/>
    </row>
    <row r="46" spans="1:15" ht="13.8" thickBot="1" x14ac:dyDescent="0.3"/>
    <row r="47" spans="1:15" ht="18" thickBot="1" x14ac:dyDescent="0.3">
      <c r="A47" s="109" t="s">
        <v>28</v>
      </c>
      <c r="B47" s="61"/>
      <c r="C47" s="61"/>
      <c r="D47" s="110"/>
      <c r="E47" s="239" t="s">
        <v>10</v>
      </c>
      <c r="F47" s="70">
        <f>O3</f>
        <v>40968</v>
      </c>
      <c r="H47" s="109" t="s">
        <v>132</v>
      </c>
      <c r="I47" s="61"/>
      <c r="J47" s="61"/>
      <c r="K47" s="68"/>
      <c r="L47" s="68"/>
      <c r="M47" s="68"/>
      <c r="N47" s="239" t="s">
        <v>10</v>
      </c>
      <c r="O47" s="70">
        <f>F47</f>
        <v>40968</v>
      </c>
    </row>
    <row r="48" spans="1:15" x14ac:dyDescent="0.25">
      <c r="A48" s="102"/>
      <c r="B48" s="93"/>
      <c r="C48" s="93"/>
      <c r="D48" s="93"/>
      <c r="E48" s="93"/>
      <c r="F48" s="103"/>
      <c r="H48" s="102"/>
      <c r="I48" s="93"/>
      <c r="J48" s="93"/>
      <c r="K48" s="93"/>
      <c r="L48" s="93"/>
      <c r="M48" s="93"/>
      <c r="N48" s="93"/>
      <c r="O48" s="103"/>
    </row>
    <row r="49" spans="1:15" x14ac:dyDescent="0.25">
      <c r="A49" s="111" t="s">
        <v>29</v>
      </c>
      <c r="B49" s="93"/>
      <c r="C49" s="93"/>
      <c r="D49" s="93"/>
      <c r="E49" s="83">
        <f>'Month 10'!E53</f>
        <v>0</v>
      </c>
      <c r="F49" s="103"/>
      <c r="H49" s="112"/>
      <c r="I49" s="93"/>
      <c r="J49" s="93"/>
      <c r="K49" s="93"/>
      <c r="L49" s="93"/>
      <c r="M49" s="93"/>
      <c r="N49" s="93"/>
      <c r="O49" s="103"/>
    </row>
    <row r="50" spans="1:15" ht="14.4" thickBot="1" x14ac:dyDescent="0.3">
      <c r="A50" s="111" t="s">
        <v>30</v>
      </c>
      <c r="B50" s="93"/>
      <c r="C50" s="94"/>
      <c r="D50" s="94" t="s">
        <v>18</v>
      </c>
      <c r="E50" s="113">
        <f>+D19</f>
        <v>0</v>
      </c>
      <c r="F50" s="103"/>
      <c r="H50" s="112" t="s">
        <v>29</v>
      </c>
      <c r="I50" s="93"/>
      <c r="J50" s="93"/>
      <c r="K50" s="93"/>
      <c r="L50" s="93"/>
      <c r="N50" s="114">
        <f>'Month 10'!N56</f>
        <v>0</v>
      </c>
      <c r="O50" s="103"/>
    </row>
    <row r="51" spans="1:15" ht="13.8" x14ac:dyDescent="0.25">
      <c r="A51" s="111"/>
      <c r="B51" s="93"/>
      <c r="C51" s="94"/>
      <c r="D51" s="94"/>
      <c r="E51" s="83">
        <f>SUM(E49:E50)</f>
        <v>0</v>
      </c>
      <c r="F51" s="103"/>
      <c r="H51" s="112"/>
      <c r="I51" s="93"/>
      <c r="J51" s="93"/>
      <c r="K51" s="93"/>
      <c r="L51" s="93"/>
      <c r="N51" s="114"/>
      <c r="O51" s="103"/>
    </row>
    <row r="52" spans="1:15" ht="14.4" thickBot="1" x14ac:dyDescent="0.3">
      <c r="A52" s="111" t="s">
        <v>59</v>
      </c>
      <c r="B52" s="93"/>
      <c r="C52" s="94"/>
      <c r="D52" s="94" t="s">
        <v>26</v>
      </c>
      <c r="E52" s="83">
        <f>+D42</f>
        <v>0</v>
      </c>
      <c r="F52" s="103"/>
      <c r="H52" s="112" t="s">
        <v>133</v>
      </c>
      <c r="I52" s="93"/>
      <c r="J52" s="93"/>
      <c r="K52" s="93"/>
      <c r="L52" s="93"/>
      <c r="N52" s="114">
        <f>L42</f>
        <v>0</v>
      </c>
      <c r="O52" s="103"/>
    </row>
    <row r="53" spans="1:15" ht="14.4" thickBot="1" x14ac:dyDescent="0.3">
      <c r="A53" s="111" t="s">
        <v>31</v>
      </c>
      <c r="B53" s="94"/>
      <c r="C53" s="94"/>
      <c r="D53" s="108" t="s">
        <v>32</v>
      </c>
      <c r="E53" s="115">
        <f>SUM(E51-E52)</f>
        <v>0</v>
      </c>
      <c r="F53" s="103"/>
      <c r="H53" s="112"/>
      <c r="I53" s="93"/>
      <c r="J53" s="93"/>
      <c r="K53" s="93"/>
      <c r="L53" s="93"/>
      <c r="N53" s="114"/>
      <c r="O53" s="103"/>
    </row>
    <row r="54" spans="1:15" ht="13.8" thickBot="1" x14ac:dyDescent="0.3">
      <c r="A54" s="102"/>
      <c r="B54" s="93"/>
      <c r="C54" s="93"/>
      <c r="D54" s="93"/>
      <c r="E54" s="93"/>
      <c r="F54" s="103"/>
      <c r="H54" s="112" t="s">
        <v>134</v>
      </c>
      <c r="I54" s="93"/>
      <c r="J54" s="93"/>
      <c r="K54" s="93"/>
      <c r="L54" s="93"/>
      <c r="N54" s="114">
        <f>-D88</f>
        <v>0</v>
      </c>
      <c r="O54" s="103"/>
    </row>
    <row r="55" spans="1:15" ht="18" thickBot="1" x14ac:dyDescent="0.3">
      <c r="A55" s="116" t="s">
        <v>33</v>
      </c>
      <c r="B55" s="117"/>
      <c r="C55" s="61"/>
      <c r="D55" s="118"/>
      <c r="E55" s="93"/>
      <c r="F55" s="103"/>
      <c r="H55" s="112"/>
      <c r="I55" s="93"/>
      <c r="J55" s="93"/>
      <c r="K55" s="93"/>
      <c r="L55" s="93"/>
      <c r="N55" s="114"/>
      <c r="O55" s="103"/>
    </row>
    <row r="56" spans="1:15" ht="13.8" thickBot="1" x14ac:dyDescent="0.3">
      <c r="A56" s="102"/>
      <c r="B56" s="93"/>
      <c r="C56" s="93"/>
      <c r="D56" s="93"/>
      <c r="E56" s="93"/>
      <c r="F56" s="103"/>
      <c r="H56" s="112" t="s">
        <v>31</v>
      </c>
      <c r="I56" s="93"/>
      <c r="J56" s="93"/>
      <c r="K56" s="93"/>
      <c r="L56" s="93"/>
      <c r="N56" s="119">
        <f>SUM(N50:N55)</f>
        <v>0</v>
      </c>
      <c r="O56" s="103"/>
    </row>
    <row r="57" spans="1:15" ht="13.8" thickBot="1" x14ac:dyDescent="0.3">
      <c r="A57" s="111" t="s">
        <v>34</v>
      </c>
      <c r="B57" s="93"/>
      <c r="C57" s="120"/>
      <c r="D57" s="121"/>
      <c r="E57" s="122"/>
      <c r="F57" s="103"/>
      <c r="H57" s="102"/>
      <c r="I57" s="93"/>
      <c r="J57" s="93"/>
      <c r="K57" s="93"/>
      <c r="L57" s="93"/>
      <c r="M57" s="93"/>
      <c r="N57" s="93"/>
      <c r="O57" s="103"/>
    </row>
    <row r="58" spans="1:15" x14ac:dyDescent="0.25">
      <c r="A58" s="111"/>
      <c r="B58" s="93"/>
      <c r="C58" s="120"/>
      <c r="D58" s="121"/>
      <c r="E58" s="83"/>
      <c r="F58" s="103"/>
      <c r="H58" s="102"/>
      <c r="I58" s="93"/>
      <c r="J58" s="93"/>
      <c r="K58" s="93"/>
      <c r="L58" s="93"/>
      <c r="M58" s="93"/>
      <c r="N58" s="93"/>
      <c r="O58" s="103"/>
    </row>
    <row r="59" spans="1:15" x14ac:dyDescent="0.25">
      <c r="A59" s="111" t="s">
        <v>35</v>
      </c>
      <c r="B59" s="93"/>
      <c r="C59" s="120"/>
      <c r="D59" s="123"/>
      <c r="E59" s="83"/>
      <c r="F59" s="103"/>
      <c r="H59" s="102"/>
      <c r="I59" s="93"/>
      <c r="J59" s="93"/>
      <c r="K59" s="93"/>
      <c r="L59" s="93"/>
      <c r="M59" s="93"/>
      <c r="N59" s="93"/>
      <c r="O59" s="103"/>
    </row>
    <row r="60" spans="1:15" x14ac:dyDescent="0.25">
      <c r="A60" s="124"/>
      <c r="B60" s="52"/>
      <c r="C60" s="125"/>
      <c r="D60" s="126"/>
      <c r="E60" s="83"/>
      <c r="F60" s="103"/>
      <c r="H60" s="102"/>
      <c r="I60" s="93"/>
      <c r="J60" s="93"/>
      <c r="K60" s="93"/>
      <c r="L60" s="93"/>
      <c r="M60" s="93"/>
      <c r="N60" s="93"/>
      <c r="O60" s="103"/>
    </row>
    <row r="61" spans="1:15" ht="13.8" thickBot="1" x14ac:dyDescent="0.3">
      <c r="A61" s="124"/>
      <c r="B61" s="52"/>
      <c r="C61" s="125"/>
      <c r="D61" s="126"/>
      <c r="E61" s="127">
        <f>SUM(D59:D61)</f>
        <v>0</v>
      </c>
      <c r="F61" s="103"/>
      <c r="H61" s="102"/>
      <c r="I61" s="93"/>
      <c r="J61" s="93"/>
      <c r="K61" s="93"/>
      <c r="L61" s="93"/>
      <c r="M61" s="93"/>
      <c r="N61" s="93"/>
      <c r="O61" s="103"/>
    </row>
    <row r="62" spans="1:15" x14ac:dyDescent="0.25">
      <c r="A62" s="111"/>
      <c r="B62" s="93"/>
      <c r="C62" s="120"/>
      <c r="D62" s="123"/>
      <c r="E62" s="83">
        <f>SUM(E57:E61)</f>
        <v>0</v>
      </c>
      <c r="F62" s="103"/>
      <c r="H62" s="102"/>
      <c r="I62" s="93"/>
      <c r="J62" s="93"/>
      <c r="K62" s="93"/>
      <c r="L62" s="93"/>
      <c r="M62" s="93"/>
      <c r="N62" s="93"/>
      <c r="O62" s="103"/>
    </row>
    <row r="63" spans="1:15" x14ac:dyDescent="0.25">
      <c r="A63" s="111" t="s">
        <v>36</v>
      </c>
      <c r="B63" s="93"/>
      <c r="C63" s="128"/>
      <c r="D63" s="129"/>
      <c r="E63" s="83"/>
      <c r="F63" s="103"/>
      <c r="H63" s="102"/>
      <c r="I63" s="93"/>
      <c r="J63" s="93"/>
      <c r="K63" s="93"/>
      <c r="L63" s="93"/>
      <c r="M63" s="93"/>
      <c r="N63" s="93"/>
      <c r="O63" s="103"/>
    </row>
    <row r="64" spans="1:15" x14ac:dyDescent="0.25">
      <c r="A64" s="124"/>
      <c r="B64" s="52"/>
      <c r="C64" s="60"/>
      <c r="D64" s="130"/>
      <c r="E64" s="83"/>
      <c r="F64" s="103"/>
      <c r="H64" s="102"/>
      <c r="I64" s="93"/>
      <c r="J64" s="93"/>
      <c r="K64" s="93"/>
      <c r="L64" s="93"/>
      <c r="M64" s="93"/>
      <c r="N64" s="93"/>
      <c r="O64" s="103"/>
    </row>
    <row r="65" spans="1:15" x14ac:dyDescent="0.25">
      <c r="A65" s="124"/>
      <c r="B65" s="52"/>
      <c r="C65" s="60"/>
      <c r="D65" s="130"/>
      <c r="E65" s="83"/>
      <c r="F65" s="103"/>
      <c r="H65" s="102"/>
      <c r="I65" s="93"/>
      <c r="J65" s="93"/>
      <c r="K65" s="93"/>
      <c r="L65" s="93"/>
      <c r="M65" s="93"/>
      <c r="N65" s="93"/>
      <c r="O65" s="103"/>
    </row>
    <row r="66" spans="1:15" ht="13.8" thickBot="1" x14ac:dyDescent="0.3">
      <c r="A66" s="124"/>
      <c r="B66" s="52"/>
      <c r="C66" s="125"/>
      <c r="D66" s="126"/>
      <c r="E66" s="83">
        <f>SUM(D63:D66)</f>
        <v>0</v>
      </c>
      <c r="F66" s="103"/>
      <c r="H66" s="102"/>
      <c r="I66" s="93"/>
      <c r="J66" s="93"/>
      <c r="K66" s="93"/>
      <c r="L66" s="93"/>
      <c r="M66" s="93"/>
      <c r="N66" s="93"/>
      <c r="O66" s="103"/>
    </row>
    <row r="67" spans="1:15" ht="16.2" thickBot="1" x14ac:dyDescent="0.3">
      <c r="A67" s="131" t="s">
        <v>37</v>
      </c>
      <c r="B67" s="132"/>
      <c r="C67" s="132"/>
      <c r="D67" s="132" t="s">
        <v>32</v>
      </c>
      <c r="E67" s="115">
        <f>SUM(E62-E66)</f>
        <v>0</v>
      </c>
      <c r="F67" s="99"/>
      <c r="H67" s="133"/>
      <c r="I67" s="72"/>
      <c r="J67" s="72"/>
      <c r="K67" s="72"/>
      <c r="L67" s="72"/>
      <c r="M67" s="72"/>
      <c r="N67" s="72"/>
      <c r="O67" s="99"/>
    </row>
    <row r="69" spans="1:15" ht="13.8" thickBot="1" x14ac:dyDescent="0.3"/>
    <row r="70" spans="1:15" ht="18" thickBot="1" x14ac:dyDescent="0.3">
      <c r="A70" s="100" t="s">
        <v>38</v>
      </c>
      <c r="B70" s="101"/>
      <c r="C70" s="61"/>
      <c r="D70" s="68"/>
      <c r="E70" s="68"/>
      <c r="F70" s="68"/>
      <c r="G70" s="68"/>
      <c r="H70" s="68"/>
      <c r="I70" s="68"/>
      <c r="J70" s="68"/>
      <c r="K70" s="68"/>
      <c r="L70" s="68"/>
      <c r="M70" s="68"/>
      <c r="N70" s="239" t="s">
        <v>10</v>
      </c>
      <c r="O70" s="70">
        <f>O3</f>
        <v>40968</v>
      </c>
    </row>
    <row r="71" spans="1:15" ht="13.8" thickBot="1" x14ac:dyDescent="0.3">
      <c r="A71" s="102"/>
      <c r="B71" s="93"/>
      <c r="C71" s="93"/>
      <c r="D71" s="93"/>
      <c r="E71" s="93"/>
      <c r="F71" s="93"/>
      <c r="G71" s="93"/>
      <c r="H71" s="93"/>
      <c r="I71" s="93"/>
      <c r="J71" s="93"/>
      <c r="K71" s="93"/>
      <c r="L71" s="93"/>
      <c r="M71" s="93"/>
      <c r="N71" s="93"/>
      <c r="O71" s="103"/>
    </row>
    <row r="72" spans="1:15" s="79" customFormat="1" ht="27" customHeight="1" thickBot="1" x14ac:dyDescent="0.3">
      <c r="A72" s="74" t="s">
        <v>12</v>
      </c>
      <c r="B72" s="75" t="s">
        <v>129</v>
      </c>
      <c r="C72" s="105" t="s">
        <v>123</v>
      </c>
      <c r="D72" s="106" t="s">
        <v>64</v>
      </c>
      <c r="E72" s="107" t="str">
        <f>'Month 10'!E72</f>
        <v>Motor &amp; Travel</v>
      </c>
      <c r="F72" s="107" t="str">
        <f>'Month 10'!F72</f>
        <v>Print, Post Stationery</v>
      </c>
      <c r="G72" s="107" t="str">
        <f>'Month 10'!G72</f>
        <v>Subsist Accom</v>
      </c>
      <c r="H72" s="107" t="str">
        <f>'Month 10'!H72</f>
        <v>Software &amp; Materials</v>
      </c>
      <c r="I72" s="77" t="str">
        <f>'Month 10'!I72</f>
        <v>Books &amp; Magazines</v>
      </c>
      <c r="J72" s="107" t="str">
        <f>'Month 10'!J72</f>
        <v>Mobile &amp; Telephone</v>
      </c>
      <c r="K72" s="107" t="str">
        <f>'Month 10'!K72</f>
        <v xml:space="preserve"> </v>
      </c>
      <c r="L72" s="107" t="str">
        <f>'Month 10'!L72</f>
        <v xml:space="preserve"> </v>
      </c>
      <c r="M72" s="107" t="str">
        <f>'Month 10'!M72</f>
        <v xml:space="preserve"> </v>
      </c>
      <c r="N72" s="107" t="str">
        <f>'Month 10'!N72</f>
        <v>Sundries</v>
      </c>
      <c r="O72" s="134" t="s">
        <v>142</v>
      </c>
    </row>
    <row r="73" spans="1:15" x14ac:dyDescent="0.25">
      <c r="A73" s="80"/>
      <c r="B73" s="81"/>
      <c r="C73" s="60"/>
      <c r="D73" s="83">
        <f t="shared" ref="D73:D86" si="4">SUM(E73:O73)</f>
        <v>0</v>
      </c>
      <c r="E73" s="84"/>
      <c r="F73" s="84"/>
      <c r="G73" s="84"/>
      <c r="H73" s="84"/>
      <c r="I73" s="84"/>
      <c r="J73" s="84"/>
      <c r="K73" s="84"/>
      <c r="L73" s="84"/>
      <c r="M73" s="84"/>
      <c r="N73" s="84"/>
      <c r="O73" s="86"/>
    </row>
    <row r="74" spans="1:15" x14ac:dyDescent="0.25">
      <c r="A74" s="80"/>
      <c r="B74" s="81"/>
      <c r="C74" s="60"/>
      <c r="D74" s="83">
        <f t="shared" si="4"/>
        <v>0</v>
      </c>
      <c r="E74" s="84"/>
      <c r="F74" s="84"/>
      <c r="G74" s="84"/>
      <c r="H74" s="84"/>
      <c r="I74" s="84"/>
      <c r="J74" s="84"/>
      <c r="K74" s="84"/>
      <c r="L74" s="84"/>
      <c r="M74" s="84"/>
      <c r="N74" s="84"/>
      <c r="O74" s="86"/>
    </row>
    <row r="75" spans="1:15" x14ac:dyDescent="0.25">
      <c r="A75" s="80"/>
      <c r="B75" s="81"/>
      <c r="C75" s="60"/>
      <c r="D75" s="83">
        <f t="shared" si="4"/>
        <v>0</v>
      </c>
      <c r="E75" s="84"/>
      <c r="F75" s="84"/>
      <c r="G75" s="84"/>
      <c r="H75" s="84"/>
      <c r="I75" s="84"/>
      <c r="J75" s="84"/>
      <c r="K75" s="84"/>
      <c r="L75" s="84"/>
      <c r="M75" s="84"/>
      <c r="N75" s="84"/>
      <c r="O75" s="86"/>
    </row>
    <row r="76" spans="1:15" x14ac:dyDescent="0.25">
      <c r="A76" s="80"/>
      <c r="B76" s="81"/>
      <c r="C76" s="60"/>
      <c r="D76" s="83">
        <f t="shared" si="4"/>
        <v>0</v>
      </c>
      <c r="E76" s="84"/>
      <c r="F76" s="84"/>
      <c r="G76" s="84"/>
      <c r="H76" s="84"/>
      <c r="I76" s="84"/>
      <c r="J76" s="84"/>
      <c r="K76" s="84"/>
      <c r="L76" s="84"/>
      <c r="M76" s="84"/>
      <c r="N76" s="84"/>
      <c r="O76" s="86"/>
    </row>
    <row r="77" spans="1:15" x14ac:dyDescent="0.25">
      <c r="A77" s="80"/>
      <c r="B77" s="81"/>
      <c r="C77" s="60"/>
      <c r="D77" s="83">
        <f t="shared" si="4"/>
        <v>0</v>
      </c>
      <c r="E77" s="84"/>
      <c r="F77" s="84"/>
      <c r="G77" s="84"/>
      <c r="H77" s="84"/>
      <c r="I77" s="84"/>
      <c r="J77" s="84"/>
      <c r="K77" s="84"/>
      <c r="L77" s="84"/>
      <c r="M77" s="84"/>
      <c r="N77" s="84"/>
      <c r="O77" s="86"/>
    </row>
    <row r="78" spans="1:15" x14ac:dyDescent="0.25">
      <c r="A78" s="80"/>
      <c r="B78" s="81"/>
      <c r="C78" s="60"/>
      <c r="D78" s="83">
        <f t="shared" si="4"/>
        <v>0</v>
      </c>
      <c r="E78" s="84"/>
      <c r="F78" s="84"/>
      <c r="G78" s="84"/>
      <c r="H78" s="84"/>
      <c r="I78" s="84"/>
      <c r="J78" s="84"/>
      <c r="K78" s="84"/>
      <c r="L78" s="84"/>
      <c r="M78" s="84"/>
      <c r="N78" s="84"/>
      <c r="O78" s="86"/>
    </row>
    <row r="79" spans="1:15" x14ac:dyDescent="0.25">
      <c r="A79" s="80"/>
      <c r="B79" s="81"/>
      <c r="C79" s="60"/>
      <c r="D79" s="83">
        <f t="shared" si="4"/>
        <v>0</v>
      </c>
      <c r="E79" s="84"/>
      <c r="F79" s="84"/>
      <c r="G79" s="84"/>
      <c r="H79" s="84"/>
      <c r="I79" s="84"/>
      <c r="J79" s="84"/>
      <c r="K79" s="84"/>
      <c r="L79" s="84"/>
      <c r="M79" s="84"/>
      <c r="N79" s="84"/>
      <c r="O79" s="86"/>
    </row>
    <row r="80" spans="1:15" x14ac:dyDescent="0.25">
      <c r="A80" s="80"/>
      <c r="B80" s="81"/>
      <c r="C80" s="60"/>
      <c r="D80" s="83">
        <f t="shared" si="4"/>
        <v>0</v>
      </c>
      <c r="E80" s="84"/>
      <c r="F80" s="84"/>
      <c r="G80" s="84"/>
      <c r="H80" s="84"/>
      <c r="I80" s="84"/>
      <c r="J80" s="84"/>
      <c r="K80" s="84"/>
      <c r="L80" s="84"/>
      <c r="M80" s="84"/>
      <c r="N80" s="84"/>
      <c r="O80" s="86"/>
    </row>
    <row r="81" spans="1:15" x14ac:dyDescent="0.25">
      <c r="A81" s="80"/>
      <c r="B81" s="81"/>
      <c r="C81" s="60"/>
      <c r="D81" s="83">
        <f t="shared" si="4"/>
        <v>0</v>
      </c>
      <c r="E81" s="84"/>
      <c r="F81" s="84"/>
      <c r="G81" s="84"/>
      <c r="H81" s="84"/>
      <c r="I81" s="84"/>
      <c r="J81" s="84"/>
      <c r="K81" s="84"/>
      <c r="L81" s="84"/>
      <c r="M81" s="84"/>
      <c r="N81" s="84"/>
      <c r="O81" s="86"/>
    </row>
    <row r="82" spans="1:15" x14ac:dyDescent="0.25">
      <c r="A82" s="80"/>
      <c r="B82" s="81"/>
      <c r="C82" s="60"/>
      <c r="D82" s="83">
        <f t="shared" si="4"/>
        <v>0</v>
      </c>
      <c r="E82" s="84"/>
      <c r="F82" s="84"/>
      <c r="G82" s="84"/>
      <c r="H82" s="84"/>
      <c r="I82" s="84"/>
      <c r="J82" s="84"/>
      <c r="K82" s="84"/>
      <c r="L82" s="84"/>
      <c r="M82" s="84"/>
      <c r="N82" s="84"/>
      <c r="O82" s="86"/>
    </row>
    <row r="83" spans="1:15" x14ac:dyDescent="0.25">
      <c r="A83" s="80"/>
      <c r="B83" s="81"/>
      <c r="C83" s="60"/>
      <c r="D83" s="83">
        <f t="shared" si="4"/>
        <v>0</v>
      </c>
      <c r="E83" s="84"/>
      <c r="F83" s="84"/>
      <c r="G83" s="84"/>
      <c r="H83" s="84"/>
      <c r="I83" s="84"/>
      <c r="J83" s="84"/>
      <c r="K83" s="84"/>
      <c r="L83" s="84"/>
      <c r="M83" s="84"/>
      <c r="N83" s="84"/>
      <c r="O83" s="86"/>
    </row>
    <row r="84" spans="1:15" x14ac:dyDescent="0.25">
      <c r="A84" s="80"/>
      <c r="B84" s="81"/>
      <c r="C84" s="60"/>
      <c r="D84" s="83">
        <f t="shared" si="4"/>
        <v>0</v>
      </c>
      <c r="E84" s="84"/>
      <c r="F84" s="84"/>
      <c r="G84" s="84"/>
      <c r="H84" s="84"/>
      <c r="I84" s="84"/>
      <c r="J84" s="84"/>
      <c r="K84" s="84"/>
      <c r="L84" s="84"/>
      <c r="M84" s="84"/>
      <c r="N84" s="84"/>
      <c r="O84" s="86"/>
    </row>
    <row r="85" spans="1:15" x14ac:dyDescent="0.25">
      <c r="A85" s="80"/>
      <c r="B85" s="81"/>
      <c r="C85" s="60"/>
      <c r="D85" s="83">
        <f t="shared" si="4"/>
        <v>0</v>
      </c>
      <c r="E85" s="84"/>
      <c r="F85" s="84"/>
      <c r="G85" s="84"/>
      <c r="H85" s="84"/>
      <c r="I85" s="84"/>
      <c r="J85" s="84"/>
      <c r="K85" s="84"/>
      <c r="L85" s="84"/>
      <c r="M85" s="84"/>
      <c r="N85" s="84"/>
      <c r="O85" s="86"/>
    </row>
    <row r="86" spans="1:15" x14ac:dyDescent="0.25">
      <c r="A86" s="135"/>
      <c r="B86" s="81"/>
      <c r="C86" s="60"/>
      <c r="D86" s="83">
        <f t="shared" si="4"/>
        <v>0</v>
      </c>
      <c r="E86" s="84"/>
      <c r="F86" s="84"/>
      <c r="G86" s="84"/>
      <c r="H86" s="84"/>
      <c r="I86" s="84"/>
      <c r="J86" s="84"/>
      <c r="K86" s="84"/>
      <c r="L86" s="84"/>
      <c r="M86" s="84"/>
      <c r="N86" s="84"/>
      <c r="O86" s="86"/>
    </row>
    <row r="87" spans="1:15" ht="13.8" thickBot="1" x14ac:dyDescent="0.3">
      <c r="A87" s="80"/>
      <c r="B87" s="81"/>
      <c r="C87" s="60"/>
      <c r="D87" s="83"/>
      <c r="E87" s="84" t="s">
        <v>11</v>
      </c>
      <c r="F87" s="84"/>
      <c r="G87" s="84"/>
      <c r="H87" s="84"/>
      <c r="I87" s="84"/>
      <c r="J87" s="84"/>
      <c r="K87" s="84"/>
      <c r="L87" s="84"/>
      <c r="M87" s="84"/>
      <c r="N87" s="84"/>
      <c r="O87" s="86"/>
    </row>
    <row r="88" spans="1:15" ht="16.2" thickBot="1" x14ac:dyDescent="0.3">
      <c r="A88" s="87"/>
      <c r="B88" s="88"/>
      <c r="C88" s="89" t="s">
        <v>17</v>
      </c>
      <c r="D88" s="90">
        <f t="shared" ref="D88:J88" si="5">SUM(D73:D87)</f>
        <v>0</v>
      </c>
      <c r="E88" s="91">
        <f t="shared" si="5"/>
        <v>0</v>
      </c>
      <c r="F88" s="91">
        <f t="shared" si="5"/>
        <v>0</v>
      </c>
      <c r="G88" s="91">
        <f t="shared" si="5"/>
        <v>0</v>
      </c>
      <c r="H88" s="91">
        <f t="shared" si="5"/>
        <v>0</v>
      </c>
      <c r="I88" s="91">
        <f t="shared" si="5"/>
        <v>0</v>
      </c>
      <c r="J88" s="91">
        <f t="shared" si="5"/>
        <v>0</v>
      </c>
      <c r="K88" s="91">
        <f>SUM(K73:K87)</f>
        <v>0</v>
      </c>
      <c r="L88" s="91">
        <f>SUM(L73:L87)</f>
        <v>0</v>
      </c>
      <c r="M88" s="91">
        <f>SUM(M73:M87)</f>
        <v>0</v>
      </c>
      <c r="N88" s="91">
        <f>SUM(N73:N87)</f>
        <v>0</v>
      </c>
      <c r="O88" s="92">
        <f>SUM(O73:O87)</f>
        <v>0</v>
      </c>
    </row>
    <row r="89" spans="1:15" ht="15.6" x14ac:dyDescent="0.25">
      <c r="A89" s="87"/>
      <c r="B89" s="93"/>
      <c r="C89" s="93"/>
      <c r="D89" s="93"/>
      <c r="E89" s="93"/>
      <c r="F89" s="93"/>
      <c r="G89" s="93"/>
      <c r="H89" s="93"/>
      <c r="I89" s="93"/>
      <c r="J89" s="93"/>
      <c r="K89" s="93"/>
      <c r="L89" s="93"/>
      <c r="M89" s="93"/>
      <c r="N89" s="93"/>
      <c r="O89" s="136" t="s">
        <v>41</v>
      </c>
    </row>
    <row r="90" spans="1:15" ht="16.2" thickBot="1" x14ac:dyDescent="0.3">
      <c r="A90" s="97"/>
      <c r="B90" s="72"/>
      <c r="C90" s="72" t="s">
        <v>71</v>
      </c>
      <c r="D90" s="98">
        <f>SUM(E88:O88)-D88</f>
        <v>0</v>
      </c>
      <c r="E90" s="253" t="str">
        <f>IF(D90=0,"","ERROR - figures do not add across")</f>
        <v/>
      </c>
      <c r="F90" s="72"/>
      <c r="G90" s="72"/>
      <c r="H90" s="72"/>
      <c r="I90" s="72"/>
      <c r="J90" s="72"/>
      <c r="K90" s="72"/>
      <c r="L90" s="72"/>
      <c r="M90" s="72"/>
      <c r="N90" s="72"/>
      <c r="O90" s="137"/>
    </row>
  </sheetData>
  <customSheetViews>
    <customSheetView guid="{93A5533C-1BF0-4CFD-B527-DBAD1AD08F71}" fitToPage="1" showRuler="0">
      <selection activeCell="B13" sqref="B13"/>
      <pageMargins left="0.59055118110236227" right="0.15748031496062992" top="0.59055118110236227" bottom="0.59055118110236227" header="0.31496062992125984" footer="0.31496062992125984"/>
      <printOptions horizontalCentered="1"/>
      <pageSetup paperSize="9" scale="58" orientation="portrait" r:id="rId1"/>
      <headerFooter alignWithMargins="0">
        <oddHeader>&amp;C&amp;A</oddHeader>
        <oddFooter>&amp;L&amp;F&amp;CPage &amp;P&amp;R&amp;D</oddFooter>
      </headerFooter>
    </customSheetView>
  </customSheetViews>
  <phoneticPr fontId="0" type="noConversion"/>
  <printOptions horizontalCentered="1"/>
  <pageMargins left="0.59055118110236227" right="0.39370078740157483" top="0.59055118110236227" bottom="0.59055118110236227" header="0.31496062992125984" footer="0.31496062992125984"/>
  <pageSetup paperSize="9" scale="59" orientation="portrait" r:id="rId2"/>
  <headerFooter alignWithMargins="0">
    <oddHeader>&amp;C&amp;A</oddHeader>
    <oddFooter>&amp;L&amp;Z&amp;F\&amp;A&amp;CPage &amp;P&amp;R&amp;D  &amp;T</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A1:O90"/>
  <sheetViews>
    <sheetView zoomScale="85" workbookViewId="0">
      <selection activeCell="A7" sqref="A7"/>
    </sheetView>
  </sheetViews>
  <sheetFormatPr defaultColWidth="9.109375" defaultRowHeight="13.2" x14ac:dyDescent="0.25"/>
  <cols>
    <col min="1" max="1" width="10" style="66" customWidth="1"/>
    <col min="2" max="2" width="4.5546875" style="66" customWidth="1"/>
    <col min="3" max="3" width="25.6640625" style="66" customWidth="1"/>
    <col min="4" max="4" width="10.109375" style="66" customWidth="1"/>
    <col min="5" max="5" width="10" style="66" bestFit="1" customWidth="1"/>
    <col min="6" max="6" width="12.5546875" style="66" bestFit="1" customWidth="1"/>
    <col min="7" max="7" width="9.88671875" style="66" bestFit="1" customWidth="1"/>
    <col min="8" max="8" width="11.44140625" style="66" bestFit="1" customWidth="1"/>
    <col min="9" max="9" width="10.88671875" style="66" bestFit="1" customWidth="1"/>
    <col min="10" max="10" width="10.6640625" style="66" bestFit="1" customWidth="1"/>
    <col min="11" max="11" width="9.109375" style="66"/>
    <col min="12" max="12" width="7.109375" style="66" customWidth="1"/>
    <col min="13" max="13" width="8.88671875" style="66" customWidth="1"/>
    <col min="14" max="14" width="9.88671875" style="66" bestFit="1" customWidth="1"/>
    <col min="15" max="15" width="9.5546875" style="66" bestFit="1" customWidth="1"/>
    <col min="16" max="16384" width="9.109375" style="66"/>
  </cols>
  <sheetData>
    <row r="1" spans="1:15" ht="16.2" thickBot="1" x14ac:dyDescent="0.3">
      <c r="A1" s="63" t="str">
        <f>'Company Info'!B5</f>
        <v>ABC Limited</v>
      </c>
      <c r="B1" s="64"/>
      <c r="C1" s="64"/>
      <c r="D1" s="65"/>
    </row>
    <row r="2" spans="1:15" ht="13.8" thickBot="1" x14ac:dyDescent="0.3"/>
    <row r="3" spans="1:15" ht="18" thickBot="1" x14ac:dyDescent="0.3">
      <c r="A3" s="67" t="s">
        <v>9</v>
      </c>
      <c r="B3" s="61"/>
      <c r="C3" s="61"/>
      <c r="D3" s="68"/>
      <c r="E3" s="68"/>
      <c r="F3" s="68"/>
      <c r="G3" s="68"/>
      <c r="H3" s="68"/>
      <c r="I3" s="68"/>
      <c r="J3" s="68"/>
      <c r="K3" s="68"/>
      <c r="L3" s="68"/>
      <c r="M3" s="68"/>
      <c r="N3" s="239" t="s">
        <v>10</v>
      </c>
      <c r="O3" s="70">
        <f>+'Company Info'!B7</f>
        <v>40999</v>
      </c>
    </row>
    <row r="4" spans="1:15" ht="13.8" thickBot="1" x14ac:dyDescent="0.3">
      <c r="A4" s="71"/>
      <c r="B4" s="68"/>
      <c r="C4" s="68"/>
      <c r="D4" s="72"/>
      <c r="E4" s="72"/>
      <c r="F4" s="72"/>
      <c r="G4" s="72"/>
      <c r="H4" s="72"/>
      <c r="N4" s="68"/>
      <c r="O4" s="73"/>
    </row>
    <row r="5" spans="1:15" s="79" customFormat="1" ht="26.25" customHeight="1" thickBot="1" x14ac:dyDescent="0.3">
      <c r="A5" s="74" t="s">
        <v>12</v>
      </c>
      <c r="B5" s="75" t="s">
        <v>130</v>
      </c>
      <c r="C5" s="76" t="s">
        <v>123</v>
      </c>
      <c r="D5" s="75" t="s">
        <v>13</v>
      </c>
      <c r="E5" s="77" t="str">
        <f>'Month 11'!E5</f>
        <v>Net Sales</v>
      </c>
      <c r="F5" s="77" t="str">
        <f>'Month 11'!F5</f>
        <v>Expenses Reimbursed</v>
      </c>
      <c r="G5" s="77" t="str">
        <f>'Month 11'!G5</f>
        <v>VAT</v>
      </c>
      <c r="H5" s="77" t="str">
        <f>'Month 11'!H5</f>
        <v>Interest Received</v>
      </c>
      <c r="I5" s="77" t="str">
        <f>'Month 11'!I5</f>
        <v>Tax Refunds</v>
      </c>
      <c r="J5" s="77" t="str">
        <f>'Month 11'!J5</f>
        <v>Company Dep A/C</v>
      </c>
      <c r="K5" s="77">
        <f>'Month 11'!K5</f>
        <v>0</v>
      </c>
      <c r="L5" s="77">
        <f>'Month 11'!L5</f>
        <v>0</v>
      </c>
      <c r="M5" s="77">
        <f>'Month 11'!M5</f>
        <v>0</v>
      </c>
      <c r="N5" s="77">
        <f>'Month 11'!N5</f>
        <v>0</v>
      </c>
      <c r="O5" s="78" t="str">
        <f>'Month 11'!O5</f>
        <v>Sundries</v>
      </c>
    </row>
    <row r="6" spans="1:15" x14ac:dyDescent="0.25">
      <c r="A6" s="80"/>
      <c r="B6" s="81"/>
      <c r="C6" s="60"/>
      <c r="D6" s="83">
        <f t="shared" ref="D6:D17" si="0">SUM(E6:O6)</f>
        <v>0</v>
      </c>
      <c r="E6" s="84"/>
      <c r="F6" s="84"/>
      <c r="G6" s="84"/>
      <c r="H6" s="84"/>
      <c r="I6" s="84"/>
      <c r="J6" s="84"/>
      <c r="K6" s="84"/>
      <c r="L6" s="84"/>
      <c r="M6" s="84"/>
      <c r="N6" s="84"/>
      <c r="O6" s="86"/>
    </row>
    <row r="7" spans="1:15" x14ac:dyDescent="0.25">
      <c r="A7" s="80"/>
      <c r="B7" s="81"/>
      <c r="C7" s="60"/>
      <c r="D7" s="83">
        <f t="shared" si="0"/>
        <v>0</v>
      </c>
      <c r="E7" s="84"/>
      <c r="F7" s="84"/>
      <c r="G7" s="84"/>
      <c r="H7" s="84"/>
      <c r="I7" s="84"/>
      <c r="J7" s="84"/>
      <c r="K7" s="84"/>
      <c r="L7" s="84"/>
      <c r="M7" s="84"/>
      <c r="N7" s="84"/>
      <c r="O7" s="86"/>
    </row>
    <row r="8" spans="1:15" x14ac:dyDescent="0.25">
      <c r="A8" s="80"/>
      <c r="B8" s="81"/>
      <c r="C8" s="60"/>
      <c r="D8" s="83">
        <f t="shared" si="0"/>
        <v>0</v>
      </c>
      <c r="E8" s="84"/>
      <c r="F8" s="84"/>
      <c r="G8" s="84"/>
      <c r="H8" s="84"/>
      <c r="I8" s="84"/>
      <c r="J8" s="84"/>
      <c r="K8" s="84"/>
      <c r="L8" s="84"/>
      <c r="M8" s="84"/>
      <c r="N8" s="84"/>
      <c r="O8" s="86"/>
    </row>
    <row r="9" spans="1:15" x14ac:dyDescent="0.25">
      <c r="A9" s="80"/>
      <c r="B9" s="81"/>
      <c r="C9" s="60"/>
      <c r="D9" s="83">
        <f t="shared" si="0"/>
        <v>0</v>
      </c>
      <c r="E9" s="84"/>
      <c r="F9" s="84"/>
      <c r="G9" s="84"/>
      <c r="H9" s="84"/>
      <c r="I9" s="84"/>
      <c r="J9" s="84"/>
      <c r="K9" s="84"/>
      <c r="L9" s="84"/>
      <c r="M9" s="84"/>
      <c r="N9" s="84"/>
      <c r="O9" s="86"/>
    </row>
    <row r="10" spans="1:15" x14ac:dyDescent="0.25">
      <c r="A10" s="80"/>
      <c r="B10" s="81"/>
      <c r="C10" s="60"/>
      <c r="D10" s="83">
        <f t="shared" si="0"/>
        <v>0</v>
      </c>
      <c r="E10" s="84"/>
      <c r="F10" s="84"/>
      <c r="G10" s="84"/>
      <c r="H10" s="84"/>
      <c r="I10" s="84"/>
      <c r="J10" s="84"/>
      <c r="K10" s="84"/>
      <c r="L10" s="84"/>
      <c r="M10" s="84"/>
      <c r="N10" s="84"/>
      <c r="O10" s="86"/>
    </row>
    <row r="11" spans="1:15" x14ac:dyDescent="0.25">
      <c r="A11" s="80"/>
      <c r="B11" s="81"/>
      <c r="C11" s="60"/>
      <c r="D11" s="83">
        <f t="shared" si="0"/>
        <v>0</v>
      </c>
      <c r="E11" s="84"/>
      <c r="F11" s="84"/>
      <c r="G11" s="84"/>
      <c r="H11" s="84"/>
      <c r="I11" s="84"/>
      <c r="J11" s="84"/>
      <c r="K11" s="84"/>
      <c r="L11" s="84"/>
      <c r="M11" s="84"/>
      <c r="N11" s="84"/>
      <c r="O11" s="86"/>
    </row>
    <row r="12" spans="1:15" x14ac:dyDescent="0.25">
      <c r="A12" s="80"/>
      <c r="B12" s="81"/>
      <c r="C12" s="60"/>
      <c r="D12" s="83">
        <f t="shared" si="0"/>
        <v>0</v>
      </c>
      <c r="E12" s="84"/>
      <c r="F12" s="84"/>
      <c r="G12" s="84"/>
      <c r="H12" s="84"/>
      <c r="I12" s="84"/>
      <c r="J12" s="84"/>
      <c r="K12" s="84"/>
      <c r="L12" s="84"/>
      <c r="M12" s="84"/>
      <c r="N12" s="84"/>
      <c r="O12" s="86"/>
    </row>
    <row r="13" spans="1:15" x14ac:dyDescent="0.25">
      <c r="A13" s="80"/>
      <c r="B13" s="81"/>
      <c r="C13" s="60"/>
      <c r="D13" s="83">
        <f t="shared" si="0"/>
        <v>0</v>
      </c>
      <c r="E13" s="84"/>
      <c r="F13" s="84"/>
      <c r="G13" s="84"/>
      <c r="H13" s="84"/>
      <c r="I13" s="84"/>
      <c r="J13" s="84"/>
      <c r="K13" s="84"/>
      <c r="L13" s="84"/>
      <c r="M13" s="84"/>
      <c r="N13" s="84"/>
      <c r="O13" s="86"/>
    </row>
    <row r="14" spans="1:15" x14ac:dyDescent="0.25">
      <c r="A14" s="80"/>
      <c r="B14" s="81"/>
      <c r="C14" s="60"/>
      <c r="D14" s="83">
        <f t="shared" si="0"/>
        <v>0</v>
      </c>
      <c r="E14" s="84"/>
      <c r="F14" s="84"/>
      <c r="G14" s="84"/>
      <c r="H14" s="84"/>
      <c r="I14" s="84"/>
      <c r="J14" s="84"/>
      <c r="K14" s="84"/>
      <c r="L14" s="84"/>
      <c r="M14" s="84"/>
      <c r="N14" s="84"/>
      <c r="O14" s="86"/>
    </row>
    <row r="15" spans="1:15" x14ac:dyDescent="0.25">
      <c r="A15" s="80"/>
      <c r="B15" s="81"/>
      <c r="C15" s="60"/>
      <c r="D15" s="83">
        <f t="shared" si="0"/>
        <v>0</v>
      </c>
      <c r="E15" s="84"/>
      <c r="F15" s="84"/>
      <c r="G15" s="84"/>
      <c r="H15" s="84"/>
      <c r="I15" s="84"/>
      <c r="J15" s="84"/>
      <c r="K15" s="84"/>
      <c r="L15" s="84"/>
      <c r="M15" s="84"/>
      <c r="N15" s="84"/>
      <c r="O15" s="86"/>
    </row>
    <row r="16" spans="1:15" x14ac:dyDescent="0.25">
      <c r="A16" s="80"/>
      <c r="B16" s="81"/>
      <c r="C16" s="60"/>
      <c r="D16" s="83">
        <f t="shared" si="0"/>
        <v>0</v>
      </c>
      <c r="E16" s="84"/>
      <c r="F16" s="84"/>
      <c r="G16" s="84"/>
      <c r="H16" s="84"/>
      <c r="I16" s="84"/>
      <c r="J16" s="84"/>
      <c r="K16" s="84"/>
      <c r="L16" s="84"/>
      <c r="M16" s="84"/>
      <c r="N16" s="84"/>
      <c r="O16" s="86"/>
    </row>
    <row r="17" spans="1:15" x14ac:dyDescent="0.25">
      <c r="A17" s="80"/>
      <c r="B17" s="81"/>
      <c r="C17" s="60"/>
      <c r="D17" s="83">
        <f t="shared" si="0"/>
        <v>0</v>
      </c>
      <c r="E17" s="84"/>
      <c r="F17" s="84"/>
      <c r="G17" s="84"/>
      <c r="H17" s="84"/>
      <c r="I17" s="84"/>
      <c r="J17" s="84"/>
      <c r="K17" s="84"/>
      <c r="L17" s="84"/>
      <c r="M17" s="84"/>
      <c r="N17" s="84"/>
      <c r="O17" s="86"/>
    </row>
    <row r="18" spans="1:15" ht="13.8" thickBot="1" x14ac:dyDescent="0.3">
      <c r="A18" s="80"/>
      <c r="B18" s="81"/>
      <c r="C18" s="60"/>
      <c r="D18" s="83"/>
      <c r="E18" s="84"/>
      <c r="F18" s="84"/>
      <c r="G18" s="84"/>
      <c r="H18" s="84"/>
      <c r="I18" s="19"/>
      <c r="J18" s="19"/>
      <c r="K18" s="19"/>
      <c r="L18" s="19"/>
      <c r="M18" s="19"/>
      <c r="N18" s="85"/>
      <c r="O18" s="86"/>
    </row>
    <row r="19" spans="1:15" ht="16.2" thickBot="1" x14ac:dyDescent="0.3">
      <c r="A19" s="87"/>
      <c r="B19" s="88"/>
      <c r="C19" s="89" t="s">
        <v>17</v>
      </c>
      <c r="D19" s="90">
        <f t="shared" ref="D19:O19" si="1">SUM(D6:D18)</f>
        <v>0</v>
      </c>
      <c r="E19" s="91">
        <f t="shared" si="1"/>
        <v>0</v>
      </c>
      <c r="F19" s="91">
        <f t="shared" si="1"/>
        <v>0</v>
      </c>
      <c r="G19" s="91">
        <f t="shared" si="1"/>
        <v>0</v>
      </c>
      <c r="H19" s="91">
        <f t="shared" si="1"/>
        <v>0</v>
      </c>
      <c r="I19" s="91">
        <f t="shared" si="1"/>
        <v>0</v>
      </c>
      <c r="J19" s="91">
        <f t="shared" si="1"/>
        <v>0</v>
      </c>
      <c r="K19" s="91">
        <f t="shared" si="1"/>
        <v>0</v>
      </c>
      <c r="L19" s="91">
        <f t="shared" si="1"/>
        <v>0</v>
      </c>
      <c r="M19" s="91">
        <f t="shared" si="1"/>
        <v>0</v>
      </c>
      <c r="N19" s="91">
        <f t="shared" si="1"/>
        <v>0</v>
      </c>
      <c r="O19" s="92">
        <f t="shared" si="1"/>
        <v>0</v>
      </c>
    </row>
    <row r="20" spans="1:15" ht="12.75" customHeight="1" x14ac:dyDescent="0.25">
      <c r="A20" s="87"/>
      <c r="B20" s="93"/>
      <c r="C20" s="93"/>
      <c r="D20" s="236" t="s">
        <v>18</v>
      </c>
      <c r="E20" s="236" t="s">
        <v>19</v>
      </c>
      <c r="F20" s="236" t="s">
        <v>19</v>
      </c>
      <c r="G20" s="237" t="s">
        <v>20</v>
      </c>
      <c r="H20" s="93"/>
      <c r="N20" s="93"/>
      <c r="O20" s="103"/>
    </row>
    <row r="21" spans="1:15" ht="13.8" thickBot="1" x14ac:dyDescent="0.3">
      <c r="A21" s="97"/>
      <c r="B21" s="72"/>
      <c r="C21" s="72" t="s">
        <v>71</v>
      </c>
      <c r="D21" s="98">
        <f>SUM(E19:O19)-D19</f>
        <v>0</v>
      </c>
      <c r="E21" s="253" t="str">
        <f>IF(D21=0,"","ERROR - figures do not add across")</f>
        <v/>
      </c>
      <c r="F21" s="72"/>
      <c r="G21" s="72"/>
      <c r="H21" s="72"/>
      <c r="I21" s="72"/>
      <c r="J21" s="72"/>
      <c r="K21" s="72"/>
      <c r="L21" s="72"/>
      <c r="M21" s="72"/>
      <c r="N21" s="72"/>
      <c r="O21" s="99"/>
    </row>
    <row r="23" spans="1:15" ht="13.8" thickBot="1" x14ac:dyDescent="0.3"/>
    <row r="24" spans="1:15" ht="18" thickBot="1" x14ac:dyDescent="0.3">
      <c r="A24" s="100" t="s">
        <v>21</v>
      </c>
      <c r="B24" s="101"/>
      <c r="C24" s="61"/>
      <c r="D24" s="68"/>
      <c r="E24" s="68"/>
      <c r="F24" s="68"/>
      <c r="G24" s="68"/>
      <c r="H24" s="68"/>
      <c r="I24" s="68"/>
      <c r="J24" s="68"/>
      <c r="K24" s="68"/>
      <c r="L24" s="68"/>
      <c r="M24" s="68"/>
      <c r="N24" s="239" t="s">
        <v>10</v>
      </c>
      <c r="O24" s="70">
        <f>O3</f>
        <v>40999</v>
      </c>
    </row>
    <row r="25" spans="1:15" ht="13.8" thickBot="1" x14ac:dyDescent="0.3">
      <c r="A25" s="102"/>
      <c r="B25" s="93"/>
      <c r="C25" s="93"/>
      <c r="D25" s="93"/>
      <c r="E25" s="93"/>
      <c r="F25" s="93"/>
      <c r="G25" s="93"/>
      <c r="H25" s="93"/>
      <c r="I25" s="93"/>
      <c r="J25" s="93"/>
      <c r="K25" s="93"/>
      <c r="L25" s="93"/>
      <c r="M25" s="93"/>
      <c r="N25" s="93"/>
      <c r="O25" s="103"/>
    </row>
    <row r="26" spans="1:15" s="79" customFormat="1" ht="27" customHeight="1" thickBot="1" x14ac:dyDescent="0.3">
      <c r="A26" s="104" t="s">
        <v>12</v>
      </c>
      <c r="B26" s="75" t="s">
        <v>68</v>
      </c>
      <c r="C26" s="105" t="s">
        <v>123</v>
      </c>
      <c r="D26" s="106" t="s">
        <v>63</v>
      </c>
      <c r="E26" s="107" t="str">
        <f>'Month 11'!E26</f>
        <v>PAYE/NI</v>
      </c>
      <c r="F26" s="107" t="str">
        <f>'Month 11'!F26</f>
        <v>Net Wages</v>
      </c>
      <c r="G26" s="107" t="str">
        <f>'Month 11'!G26</f>
        <v>Dividends</v>
      </c>
      <c r="H26" s="107" t="str">
        <f>'Month 11'!H26</f>
        <v>Company Dep A/C</v>
      </c>
      <c r="I26" s="107" t="str">
        <f>'Month 11'!I26</f>
        <v>Company Pension</v>
      </c>
      <c r="J26" s="107" t="str">
        <f>'Month 11'!J26</f>
        <v>Motor &amp; Travel</v>
      </c>
      <c r="K26" s="107" t="str">
        <f>'Month 11'!K26</f>
        <v>Standing Orders</v>
      </c>
      <c r="L26" s="107" t="str">
        <f>'Month 11'!L26</f>
        <v>Petty Cash</v>
      </c>
      <c r="M26" s="107" t="s">
        <v>143</v>
      </c>
      <c r="N26" s="107" t="str">
        <f>'Month 11'!N26</f>
        <v>Sundries</v>
      </c>
      <c r="O26" s="78" t="s">
        <v>142</v>
      </c>
    </row>
    <row r="27" spans="1:15" x14ac:dyDescent="0.25">
      <c r="A27" s="80"/>
      <c r="B27" s="81"/>
      <c r="C27" s="60"/>
      <c r="D27" s="83">
        <f t="shared" ref="D27:D40" si="2">SUM(E27:O27)</f>
        <v>0</v>
      </c>
      <c r="E27" s="84"/>
      <c r="F27" s="84"/>
      <c r="G27" s="84"/>
      <c r="H27" s="84"/>
      <c r="I27" s="84"/>
      <c r="J27" s="84"/>
      <c r="K27" s="84"/>
      <c r="L27" s="84"/>
      <c r="M27" s="84"/>
      <c r="N27" s="84"/>
      <c r="O27" s="86"/>
    </row>
    <row r="28" spans="1:15" x14ac:dyDescent="0.25">
      <c r="A28" s="80"/>
      <c r="B28" s="81"/>
      <c r="C28" s="60"/>
      <c r="D28" s="83">
        <f t="shared" si="2"/>
        <v>0</v>
      </c>
      <c r="E28" s="84"/>
      <c r="F28" s="84"/>
      <c r="G28" s="84"/>
      <c r="H28" s="84"/>
      <c r="I28" s="84"/>
      <c r="J28" s="84"/>
      <c r="K28" s="84"/>
      <c r="L28" s="84"/>
      <c r="M28" s="84"/>
      <c r="N28" s="84"/>
      <c r="O28" s="86"/>
    </row>
    <row r="29" spans="1:15" x14ac:dyDescent="0.25">
      <c r="A29" s="80"/>
      <c r="B29" s="81"/>
      <c r="C29" s="60"/>
      <c r="D29" s="83">
        <f t="shared" si="2"/>
        <v>0</v>
      </c>
      <c r="E29" s="84"/>
      <c r="F29" s="84"/>
      <c r="G29" s="84"/>
      <c r="H29" s="84"/>
      <c r="I29" s="84"/>
      <c r="J29" s="84"/>
      <c r="K29" s="84"/>
      <c r="L29" s="84"/>
      <c r="M29" s="84"/>
      <c r="N29" s="84"/>
      <c r="O29" s="86"/>
    </row>
    <row r="30" spans="1:15" x14ac:dyDescent="0.25">
      <c r="A30" s="80"/>
      <c r="B30" s="81"/>
      <c r="C30" s="60"/>
      <c r="D30" s="83">
        <f t="shared" si="2"/>
        <v>0</v>
      </c>
      <c r="E30" s="84"/>
      <c r="F30" s="84"/>
      <c r="G30" s="84"/>
      <c r="H30" s="84"/>
      <c r="I30" s="84"/>
      <c r="J30" s="84"/>
      <c r="K30" s="84"/>
      <c r="L30" s="84"/>
      <c r="M30" s="84"/>
      <c r="N30" s="84"/>
      <c r="O30" s="86"/>
    </row>
    <row r="31" spans="1:15" x14ac:dyDescent="0.25">
      <c r="A31" s="80"/>
      <c r="B31" s="81"/>
      <c r="C31" s="60"/>
      <c r="D31" s="83">
        <f t="shared" si="2"/>
        <v>0</v>
      </c>
      <c r="E31" s="84"/>
      <c r="F31" s="84"/>
      <c r="G31" s="84"/>
      <c r="H31" s="84"/>
      <c r="I31" s="84"/>
      <c r="J31" s="84"/>
      <c r="K31" s="84"/>
      <c r="L31" s="84"/>
      <c r="M31" s="84"/>
      <c r="N31" s="84"/>
      <c r="O31" s="86"/>
    </row>
    <row r="32" spans="1:15" x14ac:dyDescent="0.25">
      <c r="A32" s="80"/>
      <c r="B32" s="81"/>
      <c r="C32" s="60"/>
      <c r="D32" s="83">
        <f t="shared" si="2"/>
        <v>0</v>
      </c>
      <c r="E32" s="84"/>
      <c r="F32" s="84"/>
      <c r="G32" s="84"/>
      <c r="H32" s="84"/>
      <c r="I32" s="84"/>
      <c r="J32" s="84"/>
      <c r="K32" s="84"/>
      <c r="L32" s="84"/>
      <c r="M32" s="84"/>
      <c r="N32" s="84"/>
      <c r="O32" s="86"/>
    </row>
    <row r="33" spans="1:15" x14ac:dyDescent="0.25">
      <c r="A33" s="80"/>
      <c r="B33" s="81"/>
      <c r="C33" s="60"/>
      <c r="D33" s="83">
        <f t="shared" si="2"/>
        <v>0</v>
      </c>
      <c r="E33" s="84"/>
      <c r="F33" s="84"/>
      <c r="G33" s="84"/>
      <c r="H33" s="84"/>
      <c r="I33" s="84"/>
      <c r="J33" s="84"/>
      <c r="K33" s="84"/>
      <c r="L33" s="84"/>
      <c r="M33" s="84"/>
      <c r="N33" s="84"/>
      <c r="O33" s="86"/>
    </row>
    <row r="34" spans="1:15" x14ac:dyDescent="0.25">
      <c r="A34" s="80"/>
      <c r="B34" s="81"/>
      <c r="C34" s="60"/>
      <c r="D34" s="83">
        <f t="shared" si="2"/>
        <v>0</v>
      </c>
      <c r="E34" s="84"/>
      <c r="F34" s="84"/>
      <c r="G34" s="84"/>
      <c r="H34" s="84"/>
      <c r="I34" s="84"/>
      <c r="J34" s="84"/>
      <c r="K34" s="84"/>
      <c r="L34" s="84"/>
      <c r="M34" s="84"/>
      <c r="N34" s="84"/>
      <c r="O34" s="86"/>
    </row>
    <row r="35" spans="1:15" x14ac:dyDescent="0.25">
      <c r="A35" s="80"/>
      <c r="B35" s="81"/>
      <c r="C35" s="60"/>
      <c r="D35" s="83">
        <f t="shared" si="2"/>
        <v>0</v>
      </c>
      <c r="E35" s="84"/>
      <c r="F35" s="84"/>
      <c r="G35" s="84"/>
      <c r="H35" s="84"/>
      <c r="I35" s="84"/>
      <c r="J35" s="84"/>
      <c r="K35" s="84"/>
      <c r="L35" s="84"/>
      <c r="M35" s="84"/>
      <c r="N35" s="84"/>
      <c r="O35" s="86"/>
    </row>
    <row r="36" spans="1:15" x14ac:dyDescent="0.25">
      <c r="A36" s="80"/>
      <c r="B36" s="81"/>
      <c r="C36" s="60"/>
      <c r="D36" s="83">
        <f t="shared" si="2"/>
        <v>0</v>
      </c>
      <c r="E36" s="84"/>
      <c r="F36" s="84"/>
      <c r="G36" s="84"/>
      <c r="H36" s="84"/>
      <c r="I36" s="84"/>
      <c r="J36" s="84"/>
      <c r="K36" s="84"/>
      <c r="L36" s="84"/>
      <c r="M36" s="84"/>
      <c r="N36" s="84"/>
      <c r="O36" s="86"/>
    </row>
    <row r="37" spans="1:15" x14ac:dyDescent="0.25">
      <c r="A37" s="80"/>
      <c r="B37" s="81"/>
      <c r="C37" s="60"/>
      <c r="D37" s="83">
        <f t="shared" si="2"/>
        <v>0</v>
      </c>
      <c r="E37" s="84"/>
      <c r="F37" s="84"/>
      <c r="G37" s="84"/>
      <c r="H37" s="84"/>
      <c r="I37" s="84"/>
      <c r="J37" s="84"/>
      <c r="K37" s="84"/>
      <c r="L37" s="84"/>
      <c r="M37" s="84"/>
      <c r="N37" s="84"/>
      <c r="O37" s="86"/>
    </row>
    <row r="38" spans="1:15" x14ac:dyDescent="0.25">
      <c r="A38" s="80"/>
      <c r="B38" s="81"/>
      <c r="C38" s="60"/>
      <c r="D38" s="83">
        <f t="shared" si="2"/>
        <v>0</v>
      </c>
      <c r="E38" s="84"/>
      <c r="F38" s="84"/>
      <c r="G38" s="84"/>
      <c r="H38" s="84"/>
      <c r="I38" s="84"/>
      <c r="J38" s="84"/>
      <c r="K38" s="84"/>
      <c r="L38" s="84"/>
      <c r="M38" s="84"/>
      <c r="N38" s="84"/>
      <c r="O38" s="86"/>
    </row>
    <row r="39" spans="1:15" x14ac:dyDescent="0.25">
      <c r="A39" s="80"/>
      <c r="B39" s="81"/>
      <c r="C39" s="60"/>
      <c r="D39" s="83">
        <f t="shared" si="2"/>
        <v>0</v>
      </c>
      <c r="E39" s="84"/>
      <c r="F39" s="84"/>
      <c r="G39" s="84"/>
      <c r="H39" s="84"/>
      <c r="I39" s="84"/>
      <c r="J39" s="84"/>
      <c r="K39" s="84"/>
      <c r="L39" s="84"/>
      <c r="M39" s="84"/>
      <c r="N39" s="84"/>
      <c r="O39" s="86"/>
    </row>
    <row r="40" spans="1:15" x14ac:dyDescent="0.25">
      <c r="A40" s="80"/>
      <c r="B40" s="81"/>
      <c r="C40" s="60"/>
      <c r="D40" s="83">
        <f t="shared" si="2"/>
        <v>0</v>
      </c>
      <c r="E40" s="84"/>
      <c r="F40" s="84"/>
      <c r="G40" s="84"/>
      <c r="H40" s="84"/>
      <c r="I40" s="84"/>
      <c r="J40" s="84"/>
      <c r="K40" s="84"/>
      <c r="L40" s="84"/>
      <c r="M40" s="84"/>
      <c r="N40" s="84"/>
      <c r="O40" s="86"/>
    </row>
    <row r="41" spans="1:15" ht="13.8" thickBot="1" x14ac:dyDescent="0.3">
      <c r="A41" s="80"/>
      <c r="B41" s="81"/>
      <c r="C41" s="60"/>
      <c r="D41" s="83"/>
      <c r="E41" s="84"/>
      <c r="F41" s="84"/>
      <c r="G41" s="84"/>
      <c r="H41" s="84"/>
      <c r="I41" s="84"/>
      <c r="J41" s="84"/>
      <c r="K41" s="84"/>
      <c r="L41" s="84"/>
      <c r="M41" s="84"/>
      <c r="N41" s="84"/>
      <c r="O41" s="86"/>
    </row>
    <row r="42" spans="1:15" ht="16.2" thickBot="1" x14ac:dyDescent="0.3">
      <c r="A42" s="87"/>
      <c r="B42" s="88"/>
      <c r="C42" s="89" t="s">
        <v>17</v>
      </c>
      <c r="D42" s="90">
        <f t="shared" ref="D42:O42" si="3">SUM(D27:D41)</f>
        <v>0</v>
      </c>
      <c r="E42" s="91">
        <f t="shared" si="3"/>
        <v>0</v>
      </c>
      <c r="F42" s="91">
        <f t="shared" si="3"/>
        <v>0</v>
      </c>
      <c r="G42" s="91">
        <f t="shared" si="3"/>
        <v>0</v>
      </c>
      <c r="H42" s="91">
        <f t="shared" si="3"/>
        <v>0</v>
      </c>
      <c r="I42" s="91">
        <f t="shared" si="3"/>
        <v>0</v>
      </c>
      <c r="J42" s="91">
        <f t="shared" si="3"/>
        <v>0</v>
      </c>
      <c r="K42" s="91">
        <f>SUM(K27:K41)</f>
        <v>0</v>
      </c>
      <c r="L42" s="91">
        <f>SUM(L27:L41)</f>
        <v>0</v>
      </c>
      <c r="M42" s="91">
        <f t="shared" si="3"/>
        <v>0</v>
      </c>
      <c r="N42" s="91">
        <f t="shared" si="3"/>
        <v>0</v>
      </c>
      <c r="O42" s="92">
        <f t="shared" si="3"/>
        <v>0</v>
      </c>
    </row>
    <row r="43" spans="1:15" ht="13.8" x14ac:dyDescent="0.25">
      <c r="A43" s="87"/>
      <c r="B43" s="93"/>
      <c r="C43" s="93"/>
      <c r="D43" s="94" t="s">
        <v>26</v>
      </c>
      <c r="E43" s="93"/>
      <c r="F43" s="93"/>
      <c r="G43" s="93"/>
      <c r="H43" s="93"/>
      <c r="I43" s="93"/>
      <c r="J43" s="93"/>
      <c r="K43" s="93"/>
      <c r="L43" s="93"/>
      <c r="M43" s="93"/>
      <c r="N43" s="93"/>
      <c r="O43" s="108" t="s">
        <v>27</v>
      </c>
    </row>
    <row r="44" spans="1:15" ht="13.8" thickBot="1" x14ac:dyDescent="0.3">
      <c r="A44" s="97"/>
      <c r="B44" s="72"/>
      <c r="C44" s="72" t="s">
        <v>71</v>
      </c>
      <c r="D44" s="98">
        <f>SUM(E42:O42)-D42</f>
        <v>0</v>
      </c>
      <c r="E44" s="253" t="str">
        <f>IF(D44=0,"","ERROR - figures do not add across")</f>
        <v/>
      </c>
      <c r="F44" s="72"/>
      <c r="G44" s="72"/>
      <c r="H44" s="72"/>
      <c r="I44" s="72"/>
      <c r="J44" s="72"/>
      <c r="K44" s="72"/>
      <c r="L44" s="72"/>
      <c r="M44" s="72"/>
      <c r="N44" s="72"/>
      <c r="O44" s="99"/>
    </row>
    <row r="46" spans="1:15" ht="13.8" thickBot="1" x14ac:dyDescent="0.3"/>
    <row r="47" spans="1:15" ht="18" thickBot="1" x14ac:dyDescent="0.3">
      <c r="A47" s="109" t="s">
        <v>28</v>
      </c>
      <c r="B47" s="61"/>
      <c r="C47" s="61"/>
      <c r="D47" s="110"/>
      <c r="E47" s="239" t="s">
        <v>10</v>
      </c>
      <c r="F47" s="70">
        <f>O3</f>
        <v>40999</v>
      </c>
      <c r="H47" s="109" t="s">
        <v>132</v>
      </c>
      <c r="I47" s="61"/>
      <c r="J47" s="61"/>
      <c r="K47" s="68"/>
      <c r="L47" s="68"/>
      <c r="M47" s="68"/>
      <c r="N47" s="239" t="s">
        <v>10</v>
      </c>
      <c r="O47" s="70">
        <f>F47</f>
        <v>40999</v>
      </c>
    </row>
    <row r="48" spans="1:15" x14ac:dyDescent="0.25">
      <c r="A48" s="102"/>
      <c r="B48" s="93"/>
      <c r="C48" s="93"/>
      <c r="D48" s="93"/>
      <c r="E48" s="93"/>
      <c r="F48" s="103"/>
      <c r="H48" s="102"/>
      <c r="I48" s="93"/>
      <c r="J48" s="93"/>
      <c r="K48" s="93"/>
      <c r="L48" s="93"/>
      <c r="M48" s="93"/>
      <c r="N48" s="93"/>
      <c r="O48" s="103"/>
    </row>
    <row r="49" spans="1:15" x14ac:dyDescent="0.25">
      <c r="A49" s="111" t="s">
        <v>29</v>
      </c>
      <c r="B49" s="93"/>
      <c r="C49" s="93"/>
      <c r="D49" s="93"/>
      <c r="E49" s="83">
        <f>+'Month 11'!E53</f>
        <v>0</v>
      </c>
      <c r="F49" s="103"/>
      <c r="H49" s="112"/>
      <c r="I49" s="93"/>
      <c r="J49" s="93"/>
      <c r="K49" s="93"/>
      <c r="L49" s="93"/>
      <c r="M49" s="93"/>
      <c r="N49" s="93"/>
      <c r="O49" s="103"/>
    </row>
    <row r="50" spans="1:15" ht="14.4" thickBot="1" x14ac:dyDescent="0.3">
      <c r="A50" s="111" t="s">
        <v>30</v>
      </c>
      <c r="B50" s="93"/>
      <c r="C50" s="94"/>
      <c r="D50" s="94" t="s">
        <v>18</v>
      </c>
      <c r="E50" s="113">
        <f>+D19</f>
        <v>0</v>
      </c>
      <c r="F50" s="103"/>
      <c r="H50" s="112" t="s">
        <v>29</v>
      </c>
      <c r="I50" s="93"/>
      <c r="J50" s="93"/>
      <c r="K50" s="93"/>
      <c r="L50" s="93"/>
      <c r="N50" s="114">
        <f>'Month 11'!N56</f>
        <v>0</v>
      </c>
      <c r="O50" s="103"/>
    </row>
    <row r="51" spans="1:15" ht="13.8" x14ac:dyDescent="0.25">
      <c r="A51" s="111"/>
      <c r="B51" s="93"/>
      <c r="C51" s="94"/>
      <c r="D51" s="94"/>
      <c r="E51" s="83">
        <f>SUM(E49:E50)</f>
        <v>0</v>
      </c>
      <c r="F51" s="103"/>
      <c r="H51" s="112"/>
      <c r="I51" s="93"/>
      <c r="J51" s="93"/>
      <c r="K51" s="93"/>
      <c r="L51" s="93"/>
      <c r="N51" s="114"/>
      <c r="O51" s="103"/>
    </row>
    <row r="52" spans="1:15" ht="14.4" thickBot="1" x14ac:dyDescent="0.3">
      <c r="A52" s="111" t="s">
        <v>59</v>
      </c>
      <c r="B52" s="93"/>
      <c r="C52" s="94"/>
      <c r="D52" s="94" t="s">
        <v>26</v>
      </c>
      <c r="E52" s="83">
        <f>+D42</f>
        <v>0</v>
      </c>
      <c r="F52" s="103"/>
      <c r="H52" s="112" t="s">
        <v>133</v>
      </c>
      <c r="I52" s="93"/>
      <c r="J52" s="93"/>
      <c r="K52" s="93"/>
      <c r="L52" s="93"/>
      <c r="N52" s="114">
        <f>L42</f>
        <v>0</v>
      </c>
      <c r="O52" s="103"/>
    </row>
    <row r="53" spans="1:15" ht="14.4" thickBot="1" x14ac:dyDescent="0.3">
      <c r="A53" s="111" t="s">
        <v>31</v>
      </c>
      <c r="B53" s="94"/>
      <c r="C53" s="94"/>
      <c r="D53" s="108" t="s">
        <v>32</v>
      </c>
      <c r="E53" s="115">
        <f>SUM(E51-E52)</f>
        <v>0</v>
      </c>
      <c r="F53" s="103"/>
      <c r="H53" s="112"/>
      <c r="I53" s="93"/>
      <c r="J53" s="93"/>
      <c r="K53" s="93"/>
      <c r="L53" s="93"/>
      <c r="N53" s="114"/>
      <c r="O53" s="103"/>
    </row>
    <row r="54" spans="1:15" ht="13.8" thickBot="1" x14ac:dyDescent="0.3">
      <c r="A54" s="102"/>
      <c r="B54" s="93"/>
      <c r="C54" s="93"/>
      <c r="D54" s="93"/>
      <c r="E54" s="93"/>
      <c r="F54" s="103"/>
      <c r="H54" s="112" t="s">
        <v>134</v>
      </c>
      <c r="I54" s="93"/>
      <c r="J54" s="93"/>
      <c r="K54" s="93"/>
      <c r="L54" s="93"/>
      <c r="N54" s="114">
        <f>-D88</f>
        <v>0</v>
      </c>
      <c r="O54" s="103"/>
    </row>
    <row r="55" spans="1:15" ht="18" thickBot="1" x14ac:dyDescent="0.3">
      <c r="A55" s="116" t="s">
        <v>33</v>
      </c>
      <c r="B55" s="117"/>
      <c r="C55" s="61"/>
      <c r="D55" s="118"/>
      <c r="E55" s="93"/>
      <c r="F55" s="103"/>
      <c r="H55" s="112"/>
      <c r="I55" s="93"/>
      <c r="J55" s="93"/>
      <c r="K55" s="93"/>
      <c r="L55" s="93"/>
      <c r="N55" s="114"/>
      <c r="O55" s="103"/>
    </row>
    <row r="56" spans="1:15" ht="13.8" thickBot="1" x14ac:dyDescent="0.3">
      <c r="A56" s="102"/>
      <c r="B56" s="93"/>
      <c r="C56" s="93"/>
      <c r="D56" s="93"/>
      <c r="E56" s="93"/>
      <c r="F56" s="103"/>
      <c r="H56" s="112" t="s">
        <v>31</v>
      </c>
      <c r="I56" s="93"/>
      <c r="J56" s="93"/>
      <c r="K56" s="93"/>
      <c r="L56" s="93"/>
      <c r="N56" s="119">
        <f>SUM(N50:N55)</f>
        <v>0</v>
      </c>
      <c r="O56" s="103"/>
    </row>
    <row r="57" spans="1:15" ht="13.8" thickBot="1" x14ac:dyDescent="0.3">
      <c r="A57" s="111" t="s">
        <v>34</v>
      </c>
      <c r="B57" s="93"/>
      <c r="C57" s="120"/>
      <c r="D57" s="121"/>
      <c r="E57" s="122"/>
      <c r="F57" s="103"/>
      <c r="H57" s="102"/>
      <c r="I57" s="93"/>
      <c r="J57" s="93"/>
      <c r="K57" s="93"/>
      <c r="L57" s="93"/>
      <c r="M57" s="93"/>
      <c r="N57" s="93"/>
      <c r="O57" s="103"/>
    </row>
    <row r="58" spans="1:15" x14ac:dyDescent="0.25">
      <c r="A58" s="111"/>
      <c r="B58" s="93"/>
      <c r="C58" s="120"/>
      <c r="D58" s="121"/>
      <c r="E58" s="83"/>
      <c r="F58" s="103"/>
      <c r="H58" s="102"/>
      <c r="I58" s="93"/>
      <c r="J58" s="93"/>
      <c r="K58" s="93"/>
      <c r="L58" s="93"/>
      <c r="M58" s="93"/>
      <c r="N58" s="93"/>
      <c r="O58" s="103"/>
    </row>
    <row r="59" spans="1:15" x14ac:dyDescent="0.25">
      <c r="A59" s="111" t="s">
        <v>35</v>
      </c>
      <c r="B59" s="93"/>
      <c r="C59" s="120"/>
      <c r="D59" s="123"/>
      <c r="E59" s="83"/>
      <c r="F59" s="103"/>
      <c r="H59" s="102"/>
      <c r="I59" s="93"/>
      <c r="J59" s="93"/>
      <c r="K59" s="93"/>
      <c r="L59" s="93"/>
      <c r="M59" s="93"/>
      <c r="N59" s="93"/>
      <c r="O59" s="103"/>
    </row>
    <row r="60" spans="1:15" x14ac:dyDescent="0.25">
      <c r="A60" s="124"/>
      <c r="B60" s="52"/>
      <c r="C60" s="125"/>
      <c r="D60" s="126"/>
      <c r="E60" s="83"/>
      <c r="F60" s="103"/>
      <c r="H60" s="102"/>
      <c r="I60" s="93"/>
      <c r="J60" s="93"/>
      <c r="K60" s="93"/>
      <c r="L60" s="93"/>
      <c r="M60" s="93"/>
      <c r="N60" s="93"/>
      <c r="O60" s="103"/>
    </row>
    <row r="61" spans="1:15" ht="13.8" thickBot="1" x14ac:dyDescent="0.3">
      <c r="A61" s="124"/>
      <c r="B61" s="52"/>
      <c r="C61" s="125"/>
      <c r="D61" s="126"/>
      <c r="E61" s="127">
        <f>SUM(D59:D61)</f>
        <v>0</v>
      </c>
      <c r="F61" s="103"/>
      <c r="H61" s="102"/>
      <c r="I61" s="93"/>
      <c r="J61" s="93"/>
      <c r="K61" s="93"/>
      <c r="L61" s="93"/>
      <c r="M61" s="93"/>
      <c r="N61" s="93"/>
      <c r="O61" s="103"/>
    </row>
    <row r="62" spans="1:15" x14ac:dyDescent="0.25">
      <c r="A62" s="111"/>
      <c r="B62" s="93"/>
      <c r="C62" s="120"/>
      <c r="D62" s="123"/>
      <c r="E62" s="83">
        <f>SUM(E57:E61)</f>
        <v>0</v>
      </c>
      <c r="F62" s="103"/>
      <c r="H62" s="102"/>
      <c r="I62" s="93"/>
      <c r="J62" s="93"/>
      <c r="K62" s="93"/>
      <c r="L62" s="93"/>
      <c r="M62" s="93"/>
      <c r="N62" s="93"/>
      <c r="O62" s="103"/>
    </row>
    <row r="63" spans="1:15" x14ac:dyDescent="0.25">
      <c r="A63" s="111" t="s">
        <v>36</v>
      </c>
      <c r="B63" s="93"/>
      <c r="C63" s="128"/>
      <c r="D63" s="129"/>
      <c r="E63" s="83"/>
      <c r="F63" s="103"/>
      <c r="H63" s="102"/>
      <c r="I63" s="93"/>
      <c r="J63" s="93"/>
      <c r="K63" s="93"/>
      <c r="L63" s="93"/>
      <c r="M63" s="93"/>
      <c r="N63" s="93"/>
      <c r="O63" s="103"/>
    </row>
    <row r="64" spans="1:15" x14ac:dyDescent="0.25">
      <c r="A64" s="124"/>
      <c r="B64" s="52"/>
      <c r="C64" s="60"/>
      <c r="D64" s="130"/>
      <c r="E64" s="83"/>
      <c r="F64" s="103"/>
      <c r="H64" s="102"/>
      <c r="I64" s="93"/>
      <c r="J64" s="93"/>
      <c r="K64" s="93"/>
      <c r="L64" s="93"/>
      <c r="M64" s="93"/>
      <c r="N64" s="93"/>
      <c r="O64" s="103"/>
    </row>
    <row r="65" spans="1:15" x14ac:dyDescent="0.25">
      <c r="A65" s="124"/>
      <c r="B65" s="52"/>
      <c r="C65" s="60"/>
      <c r="D65" s="130"/>
      <c r="E65" s="83"/>
      <c r="F65" s="103"/>
      <c r="H65" s="102"/>
      <c r="I65" s="93"/>
      <c r="J65" s="93"/>
      <c r="K65" s="93"/>
      <c r="L65" s="93"/>
      <c r="M65" s="93"/>
      <c r="N65" s="93"/>
      <c r="O65" s="103"/>
    </row>
    <row r="66" spans="1:15" ht="13.8" thickBot="1" x14ac:dyDescent="0.3">
      <c r="A66" s="124"/>
      <c r="B66" s="52"/>
      <c r="C66" s="125"/>
      <c r="D66" s="126"/>
      <c r="E66" s="83">
        <f>SUM(D63:D66)</f>
        <v>0</v>
      </c>
      <c r="F66" s="103"/>
      <c r="H66" s="102"/>
      <c r="I66" s="93"/>
      <c r="J66" s="93"/>
      <c r="K66" s="93"/>
      <c r="L66" s="93"/>
      <c r="M66" s="93"/>
      <c r="N66" s="93"/>
      <c r="O66" s="103"/>
    </row>
    <row r="67" spans="1:15" ht="16.2" thickBot="1" x14ac:dyDescent="0.3">
      <c r="A67" s="131" t="s">
        <v>37</v>
      </c>
      <c r="B67" s="132"/>
      <c r="C67" s="132"/>
      <c r="D67" s="132" t="s">
        <v>32</v>
      </c>
      <c r="E67" s="115">
        <f>SUM(E62-E66)</f>
        <v>0</v>
      </c>
      <c r="F67" s="99"/>
      <c r="H67" s="133"/>
      <c r="I67" s="72"/>
      <c r="J67" s="72"/>
      <c r="K67" s="72"/>
      <c r="L67" s="72"/>
      <c r="M67" s="72"/>
      <c r="N67" s="72"/>
      <c r="O67" s="99"/>
    </row>
    <row r="69" spans="1:15" ht="13.8" thickBot="1" x14ac:dyDescent="0.3"/>
    <row r="70" spans="1:15" ht="18" thickBot="1" x14ac:dyDescent="0.3">
      <c r="A70" s="100" t="s">
        <v>38</v>
      </c>
      <c r="B70" s="101"/>
      <c r="C70" s="61"/>
      <c r="D70" s="68"/>
      <c r="E70" s="68"/>
      <c r="F70" s="68"/>
      <c r="G70" s="68"/>
      <c r="H70" s="68"/>
      <c r="I70" s="68"/>
      <c r="J70" s="68"/>
      <c r="K70" s="68"/>
      <c r="L70" s="68"/>
      <c r="M70" s="68"/>
      <c r="N70" s="239" t="s">
        <v>10</v>
      </c>
      <c r="O70" s="70">
        <f>O3</f>
        <v>40999</v>
      </c>
    </row>
    <row r="71" spans="1:15" ht="13.8" thickBot="1" x14ac:dyDescent="0.3">
      <c r="A71" s="102"/>
      <c r="B71" s="93"/>
      <c r="C71" s="93"/>
      <c r="D71" s="93"/>
      <c r="E71" s="93"/>
      <c r="F71" s="93"/>
      <c r="G71" s="93"/>
      <c r="H71" s="93"/>
      <c r="I71" s="93"/>
      <c r="J71" s="93"/>
      <c r="K71" s="93"/>
      <c r="L71" s="93"/>
      <c r="M71" s="93"/>
      <c r="N71" s="93"/>
      <c r="O71" s="103"/>
    </row>
    <row r="72" spans="1:15" s="79" customFormat="1" ht="27" customHeight="1" thickBot="1" x14ac:dyDescent="0.3">
      <c r="A72" s="74" t="s">
        <v>12</v>
      </c>
      <c r="B72" s="75" t="s">
        <v>129</v>
      </c>
      <c r="C72" s="105" t="s">
        <v>123</v>
      </c>
      <c r="D72" s="106" t="s">
        <v>64</v>
      </c>
      <c r="E72" s="107" t="str">
        <f>'Month 11'!E72</f>
        <v>Motor &amp; Travel</v>
      </c>
      <c r="F72" s="107" t="str">
        <f>'Month 11'!F72</f>
        <v>Print, Post Stationery</v>
      </c>
      <c r="G72" s="107" t="str">
        <f>'Month 11'!G72</f>
        <v>Subsist Accom</v>
      </c>
      <c r="H72" s="107" t="str">
        <f>'Month 11'!H72</f>
        <v>Software &amp; Materials</v>
      </c>
      <c r="I72" s="77" t="str">
        <f>'Month 11'!I72</f>
        <v>Books &amp; Magazines</v>
      </c>
      <c r="J72" s="107" t="str">
        <f>'Month 11'!J72</f>
        <v>Mobile &amp; Telephone</v>
      </c>
      <c r="K72" s="107" t="str">
        <f>'Month 11'!K72</f>
        <v xml:space="preserve"> </v>
      </c>
      <c r="L72" s="107" t="str">
        <f>'Month 11'!L72</f>
        <v xml:space="preserve"> </v>
      </c>
      <c r="M72" s="107" t="str">
        <f>'Month 11'!M72</f>
        <v xml:space="preserve"> </v>
      </c>
      <c r="N72" s="107" t="str">
        <f>'Month 11'!N72</f>
        <v>Sundries</v>
      </c>
      <c r="O72" s="134" t="s">
        <v>142</v>
      </c>
    </row>
    <row r="73" spans="1:15" x14ac:dyDescent="0.25">
      <c r="A73" s="80"/>
      <c r="B73" s="81"/>
      <c r="C73" s="60"/>
      <c r="D73" s="83">
        <f t="shared" ref="D73:D86" si="4">SUM(E73:O73)</f>
        <v>0</v>
      </c>
      <c r="E73" s="84"/>
      <c r="F73" s="84"/>
      <c r="G73" s="84"/>
      <c r="H73" s="84"/>
      <c r="I73" s="84"/>
      <c r="J73" s="84"/>
      <c r="K73" s="84"/>
      <c r="L73" s="84"/>
      <c r="M73" s="84"/>
      <c r="N73" s="84"/>
      <c r="O73" s="86"/>
    </row>
    <row r="74" spans="1:15" x14ac:dyDescent="0.25">
      <c r="A74" s="80"/>
      <c r="B74" s="81"/>
      <c r="C74" s="60"/>
      <c r="D74" s="83">
        <f t="shared" si="4"/>
        <v>0</v>
      </c>
      <c r="E74" s="84"/>
      <c r="F74" s="84"/>
      <c r="G74" s="84"/>
      <c r="H74" s="84"/>
      <c r="I74" s="84"/>
      <c r="J74" s="84"/>
      <c r="K74" s="84"/>
      <c r="L74" s="84"/>
      <c r="M74" s="84"/>
      <c r="N74" s="84"/>
      <c r="O74" s="86"/>
    </row>
    <row r="75" spans="1:15" x14ac:dyDescent="0.25">
      <c r="A75" s="80"/>
      <c r="B75" s="81"/>
      <c r="C75" s="60"/>
      <c r="D75" s="83">
        <f t="shared" si="4"/>
        <v>0</v>
      </c>
      <c r="E75" s="84"/>
      <c r="F75" s="84"/>
      <c r="G75" s="84"/>
      <c r="H75" s="84"/>
      <c r="I75" s="84"/>
      <c r="J75" s="84"/>
      <c r="K75" s="84"/>
      <c r="L75" s="84"/>
      <c r="M75" s="84"/>
      <c r="N75" s="84"/>
      <c r="O75" s="86"/>
    </row>
    <row r="76" spans="1:15" x14ac:dyDescent="0.25">
      <c r="A76" s="80"/>
      <c r="B76" s="81"/>
      <c r="C76" s="60"/>
      <c r="D76" s="83">
        <f t="shared" si="4"/>
        <v>0</v>
      </c>
      <c r="E76" s="84"/>
      <c r="F76" s="84"/>
      <c r="G76" s="84"/>
      <c r="H76" s="84"/>
      <c r="I76" s="84"/>
      <c r="J76" s="84"/>
      <c r="K76" s="84"/>
      <c r="L76" s="84"/>
      <c r="M76" s="84"/>
      <c r="N76" s="84"/>
      <c r="O76" s="86"/>
    </row>
    <row r="77" spans="1:15" x14ac:dyDescent="0.25">
      <c r="A77" s="80"/>
      <c r="B77" s="81"/>
      <c r="C77" s="60"/>
      <c r="D77" s="83">
        <f t="shared" si="4"/>
        <v>0</v>
      </c>
      <c r="E77" s="84"/>
      <c r="F77" s="84"/>
      <c r="G77" s="84"/>
      <c r="H77" s="84"/>
      <c r="I77" s="84"/>
      <c r="J77" s="84"/>
      <c r="K77" s="84"/>
      <c r="L77" s="84"/>
      <c r="M77" s="84"/>
      <c r="N77" s="84"/>
      <c r="O77" s="86"/>
    </row>
    <row r="78" spans="1:15" x14ac:dyDescent="0.25">
      <c r="A78" s="80"/>
      <c r="B78" s="81"/>
      <c r="C78" s="60"/>
      <c r="D78" s="83">
        <f t="shared" si="4"/>
        <v>0</v>
      </c>
      <c r="E78" s="84"/>
      <c r="F78" s="84"/>
      <c r="G78" s="84"/>
      <c r="H78" s="84"/>
      <c r="I78" s="84"/>
      <c r="J78" s="84"/>
      <c r="K78" s="84"/>
      <c r="L78" s="84"/>
      <c r="M78" s="84"/>
      <c r="N78" s="84"/>
      <c r="O78" s="86"/>
    </row>
    <row r="79" spans="1:15" x14ac:dyDescent="0.25">
      <c r="A79" s="80"/>
      <c r="B79" s="81"/>
      <c r="C79" s="60"/>
      <c r="D79" s="83">
        <f t="shared" si="4"/>
        <v>0</v>
      </c>
      <c r="E79" s="84"/>
      <c r="F79" s="84"/>
      <c r="G79" s="84"/>
      <c r="H79" s="84"/>
      <c r="I79" s="84"/>
      <c r="J79" s="84"/>
      <c r="K79" s="84"/>
      <c r="L79" s="84"/>
      <c r="M79" s="84"/>
      <c r="N79" s="84"/>
      <c r="O79" s="86"/>
    </row>
    <row r="80" spans="1:15" x14ac:dyDescent="0.25">
      <c r="A80" s="80"/>
      <c r="B80" s="81"/>
      <c r="C80" s="60"/>
      <c r="D80" s="83">
        <f t="shared" si="4"/>
        <v>0</v>
      </c>
      <c r="E80" s="84"/>
      <c r="F80" s="84"/>
      <c r="G80" s="84"/>
      <c r="H80" s="84"/>
      <c r="I80" s="84"/>
      <c r="J80" s="84"/>
      <c r="K80" s="84"/>
      <c r="L80" s="84"/>
      <c r="M80" s="84"/>
      <c r="N80" s="84"/>
      <c r="O80" s="86"/>
    </row>
    <row r="81" spans="1:15" x14ac:dyDescent="0.25">
      <c r="A81" s="80"/>
      <c r="B81" s="81"/>
      <c r="C81" s="60"/>
      <c r="D81" s="83">
        <f t="shared" si="4"/>
        <v>0</v>
      </c>
      <c r="E81" s="84"/>
      <c r="F81" s="84"/>
      <c r="G81" s="84"/>
      <c r="H81" s="84"/>
      <c r="I81" s="84"/>
      <c r="J81" s="84"/>
      <c r="K81" s="84"/>
      <c r="L81" s="84"/>
      <c r="M81" s="84"/>
      <c r="N81" s="84"/>
      <c r="O81" s="86"/>
    </row>
    <row r="82" spans="1:15" x14ac:dyDescent="0.25">
      <c r="A82" s="80"/>
      <c r="B82" s="81"/>
      <c r="C82" s="60"/>
      <c r="D82" s="83">
        <f t="shared" si="4"/>
        <v>0</v>
      </c>
      <c r="E82" s="84"/>
      <c r="F82" s="84"/>
      <c r="G82" s="84"/>
      <c r="H82" s="84"/>
      <c r="I82" s="84"/>
      <c r="J82" s="84"/>
      <c r="K82" s="84"/>
      <c r="L82" s="84"/>
      <c r="M82" s="84"/>
      <c r="N82" s="84"/>
      <c r="O82" s="86"/>
    </row>
    <row r="83" spans="1:15" x14ac:dyDescent="0.25">
      <c r="A83" s="80"/>
      <c r="B83" s="81"/>
      <c r="C83" s="60"/>
      <c r="D83" s="83">
        <f t="shared" si="4"/>
        <v>0</v>
      </c>
      <c r="E83" s="84"/>
      <c r="F83" s="84"/>
      <c r="G83" s="84"/>
      <c r="H83" s="84"/>
      <c r="I83" s="84"/>
      <c r="J83" s="84"/>
      <c r="K83" s="84"/>
      <c r="L83" s="84"/>
      <c r="M83" s="84"/>
      <c r="N83" s="84"/>
      <c r="O83" s="86"/>
    </row>
    <row r="84" spans="1:15" x14ac:dyDescent="0.25">
      <c r="A84" s="80"/>
      <c r="B84" s="81"/>
      <c r="C84" s="60"/>
      <c r="D84" s="83">
        <f t="shared" si="4"/>
        <v>0</v>
      </c>
      <c r="E84" s="84"/>
      <c r="F84" s="84"/>
      <c r="G84" s="84"/>
      <c r="H84" s="84"/>
      <c r="I84" s="84"/>
      <c r="J84" s="84"/>
      <c r="K84" s="84"/>
      <c r="L84" s="84"/>
      <c r="M84" s="84"/>
      <c r="N84" s="84"/>
      <c r="O84" s="86"/>
    </row>
    <row r="85" spans="1:15" x14ac:dyDescent="0.25">
      <c r="A85" s="80"/>
      <c r="B85" s="81"/>
      <c r="C85" s="60"/>
      <c r="D85" s="83">
        <f t="shared" si="4"/>
        <v>0</v>
      </c>
      <c r="E85" s="84"/>
      <c r="F85" s="84"/>
      <c r="G85" s="84"/>
      <c r="H85" s="84"/>
      <c r="I85" s="84"/>
      <c r="J85" s="84"/>
      <c r="K85" s="84"/>
      <c r="L85" s="84"/>
      <c r="M85" s="84"/>
      <c r="N85" s="84"/>
      <c r="O85" s="86"/>
    </row>
    <row r="86" spans="1:15" x14ac:dyDescent="0.25">
      <c r="A86" s="135"/>
      <c r="B86" s="81"/>
      <c r="C86" s="60"/>
      <c r="D86" s="83">
        <f t="shared" si="4"/>
        <v>0</v>
      </c>
      <c r="E86" s="84"/>
      <c r="F86" s="84"/>
      <c r="G86" s="84"/>
      <c r="H86" s="84"/>
      <c r="I86" s="84"/>
      <c r="J86" s="84"/>
      <c r="K86" s="84"/>
      <c r="L86" s="84"/>
      <c r="M86" s="84"/>
      <c r="N86" s="84"/>
      <c r="O86" s="86"/>
    </row>
    <row r="87" spans="1:15" ht="13.8" thickBot="1" x14ac:dyDescent="0.3">
      <c r="A87" s="80"/>
      <c r="B87" s="81"/>
      <c r="C87" s="60"/>
      <c r="D87" s="83"/>
      <c r="E87" s="84" t="s">
        <v>11</v>
      </c>
      <c r="F87" s="84"/>
      <c r="G87" s="84"/>
      <c r="H87" s="84"/>
      <c r="I87" s="84"/>
      <c r="J87" s="84"/>
      <c r="K87" s="84"/>
      <c r="L87" s="84"/>
      <c r="M87" s="84"/>
      <c r="N87" s="84"/>
      <c r="O87" s="86"/>
    </row>
    <row r="88" spans="1:15" ht="16.2" thickBot="1" x14ac:dyDescent="0.3">
      <c r="A88" s="87"/>
      <c r="B88" s="88"/>
      <c r="C88" s="89" t="s">
        <v>17</v>
      </c>
      <c r="D88" s="90">
        <f t="shared" ref="D88:J88" si="5">SUM(D73:D87)</f>
        <v>0</v>
      </c>
      <c r="E88" s="91">
        <f t="shared" si="5"/>
        <v>0</v>
      </c>
      <c r="F88" s="91">
        <f t="shared" si="5"/>
        <v>0</v>
      </c>
      <c r="G88" s="91">
        <f t="shared" si="5"/>
        <v>0</v>
      </c>
      <c r="H88" s="91">
        <f t="shared" si="5"/>
        <v>0</v>
      </c>
      <c r="I88" s="91">
        <f t="shared" si="5"/>
        <v>0</v>
      </c>
      <c r="J88" s="91">
        <f t="shared" si="5"/>
        <v>0</v>
      </c>
      <c r="K88" s="91">
        <f>SUM(K73:K87)</f>
        <v>0</v>
      </c>
      <c r="L88" s="91">
        <f>SUM(L73:L87)</f>
        <v>0</v>
      </c>
      <c r="M88" s="91">
        <f>SUM(M73:M87)</f>
        <v>0</v>
      </c>
      <c r="N88" s="91">
        <f>SUM(N73:N87)</f>
        <v>0</v>
      </c>
      <c r="O88" s="92">
        <f>SUM(O73:O87)</f>
        <v>0</v>
      </c>
    </row>
    <row r="89" spans="1:15" ht="15.6" x14ac:dyDescent="0.25">
      <c r="A89" s="87"/>
      <c r="B89" s="93"/>
      <c r="C89" s="93"/>
      <c r="D89" s="93"/>
      <c r="E89" s="93"/>
      <c r="F89" s="93"/>
      <c r="G89" s="93"/>
      <c r="H89" s="93"/>
      <c r="I89" s="93"/>
      <c r="J89" s="93"/>
      <c r="K89" s="93"/>
      <c r="L89" s="93"/>
      <c r="M89" s="93"/>
      <c r="N89" s="93"/>
      <c r="O89" s="136" t="s">
        <v>41</v>
      </c>
    </row>
    <row r="90" spans="1:15" ht="16.2" thickBot="1" x14ac:dyDescent="0.3">
      <c r="A90" s="97"/>
      <c r="B90" s="72"/>
      <c r="C90" s="72" t="s">
        <v>71</v>
      </c>
      <c r="D90" s="98">
        <f>SUM(E88:O88)-D88</f>
        <v>0</v>
      </c>
      <c r="E90" s="253" t="str">
        <f>IF(D90=0,"","ERROR - figures do not add across")</f>
        <v/>
      </c>
      <c r="F90" s="72"/>
      <c r="G90" s="72"/>
      <c r="H90" s="72"/>
      <c r="I90" s="72"/>
      <c r="J90" s="72"/>
      <c r="K90" s="72"/>
      <c r="L90" s="72"/>
      <c r="M90" s="72"/>
      <c r="N90" s="72"/>
      <c r="O90" s="137"/>
    </row>
  </sheetData>
  <customSheetViews>
    <customSheetView guid="{93A5533C-1BF0-4CFD-B527-DBAD1AD08F71}" fitToPage="1" showRuler="0">
      <selection activeCell="B13" sqref="B13"/>
      <pageMargins left="0.59055118110236227" right="0.15748031496062992" top="0.59055118110236227" bottom="0.59055118110236227" header="0.31496062992125984" footer="0.31496062992125984"/>
      <printOptions horizontalCentered="1"/>
      <pageSetup paperSize="9" scale="58" orientation="portrait" r:id="rId1"/>
      <headerFooter alignWithMargins="0">
        <oddHeader>&amp;C&amp;A</oddHeader>
        <oddFooter>&amp;L&amp;F&amp;CPage &amp;P&amp;R&amp;D</oddFooter>
      </headerFooter>
    </customSheetView>
  </customSheetViews>
  <phoneticPr fontId="0" type="noConversion"/>
  <printOptions horizontalCentered="1"/>
  <pageMargins left="0.59055118110236227" right="0.39370078740157483" top="0.59055118110236227" bottom="0.59055118110236227" header="0.31496062992125984" footer="0.31496062992125984"/>
  <pageSetup paperSize="9" scale="59" orientation="portrait" r:id="rId2"/>
  <headerFooter alignWithMargins="0">
    <oddHeader>&amp;C&amp;A</oddHeader>
    <oddFooter>&amp;L&amp;Z&amp;F\&amp;A&amp;CPage &amp;P&amp;R&amp;D  &amp;T</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A1:I66"/>
  <sheetViews>
    <sheetView workbookViewId="0">
      <selection activeCell="I9" sqref="I9"/>
    </sheetView>
  </sheetViews>
  <sheetFormatPr defaultColWidth="9.109375" defaultRowHeight="13.2" x14ac:dyDescent="0.25"/>
  <cols>
    <col min="1" max="1" width="22.5546875" style="19" customWidth="1"/>
    <col min="2" max="2" width="7.88671875" style="19" customWidth="1"/>
    <col min="3" max="3" width="3.5546875" style="19" bestFit="1" customWidth="1"/>
    <col min="4" max="4" width="14.88671875" style="19" customWidth="1"/>
    <col min="5" max="5" width="11.33203125" style="19" customWidth="1"/>
    <col min="6" max="6" width="2.44140625" style="19" bestFit="1" customWidth="1"/>
    <col min="7" max="7" width="9.109375" style="19"/>
    <col min="8" max="8" width="3" style="29" customWidth="1"/>
    <col min="9" max="9" width="11.33203125" style="19" customWidth="1"/>
    <col min="10" max="16384" width="9.109375" style="19"/>
  </cols>
  <sheetData>
    <row r="1" spans="1:9" ht="16.2" thickBot="1" x14ac:dyDescent="0.3">
      <c r="A1" s="169" t="str">
        <f>'Company Info'!B5</f>
        <v>ABC Limited</v>
      </c>
      <c r="B1" s="170"/>
      <c r="C1" s="170"/>
      <c r="D1" s="171"/>
    </row>
    <row r="2" spans="1:9" ht="13.8" thickBot="1" x14ac:dyDescent="0.3"/>
    <row r="3" spans="1:9" ht="18" thickBot="1" x14ac:dyDescent="0.3">
      <c r="A3" s="172" t="s">
        <v>89</v>
      </c>
      <c r="B3" s="173"/>
      <c r="C3" s="173"/>
      <c r="D3" s="173"/>
      <c r="E3" s="173"/>
      <c r="F3" s="173"/>
      <c r="G3" s="173"/>
      <c r="H3" s="174"/>
      <c r="I3" s="175"/>
    </row>
    <row r="4" spans="1:9" x14ac:dyDescent="0.25">
      <c r="A4" s="176"/>
      <c r="B4" s="52"/>
      <c r="C4" s="52"/>
      <c r="D4" s="52"/>
      <c r="E4" s="52"/>
      <c r="F4" s="52"/>
      <c r="G4" s="52"/>
      <c r="H4" s="177"/>
      <c r="I4" s="37"/>
    </row>
    <row r="5" spans="1:9" ht="13.8" x14ac:dyDescent="0.25">
      <c r="A5" s="178" t="s">
        <v>42</v>
      </c>
      <c r="B5" s="179">
        <f>'Month 1'!O3</f>
        <v>40658</v>
      </c>
      <c r="C5" s="180" t="s">
        <v>110</v>
      </c>
      <c r="D5" s="232">
        <f>'Month 3'!O3</f>
        <v>40720</v>
      </c>
      <c r="E5" s="182"/>
      <c r="F5" s="52"/>
      <c r="G5" s="52"/>
      <c r="H5" s="177"/>
      <c r="I5" s="37"/>
    </row>
    <row r="6" spans="1:9" ht="14.4" thickBot="1" x14ac:dyDescent="0.3">
      <c r="A6" s="178"/>
      <c r="B6" s="179"/>
      <c r="C6" s="180"/>
      <c r="D6" s="232"/>
      <c r="E6" s="182"/>
      <c r="F6" s="52"/>
      <c r="G6" s="52"/>
      <c r="H6" s="177"/>
      <c r="I6" s="37"/>
    </row>
    <row r="7" spans="1:9" x14ac:dyDescent="0.25">
      <c r="A7" s="176"/>
      <c r="B7" s="52"/>
      <c r="C7" s="52"/>
      <c r="D7" s="52"/>
      <c r="E7" s="52"/>
      <c r="F7" s="52"/>
      <c r="G7" s="52"/>
      <c r="H7" s="177"/>
      <c r="I7" s="183" t="s">
        <v>43</v>
      </c>
    </row>
    <row r="8" spans="1:9" x14ac:dyDescent="0.25">
      <c r="A8" s="176"/>
      <c r="B8" s="52"/>
      <c r="C8" s="52"/>
      <c r="D8" s="52"/>
      <c r="E8" s="52"/>
      <c r="F8" s="52"/>
      <c r="G8" s="52"/>
      <c r="H8" s="177"/>
      <c r="I8" s="184" t="s">
        <v>44</v>
      </c>
    </row>
    <row r="9" spans="1:9" x14ac:dyDescent="0.25">
      <c r="A9" s="176"/>
      <c r="B9" s="52"/>
      <c r="C9" s="52"/>
      <c r="D9" s="52"/>
      <c r="E9" s="52"/>
      <c r="F9" s="52"/>
      <c r="G9" s="185"/>
      <c r="H9" s="186"/>
      <c r="I9" s="187">
        <v>0.13500000000000001</v>
      </c>
    </row>
    <row r="10" spans="1:9" x14ac:dyDescent="0.25">
      <c r="A10" s="176"/>
      <c r="B10" s="52"/>
      <c r="C10" s="52"/>
      <c r="D10" s="52"/>
      <c r="E10" s="188" t="s">
        <v>45</v>
      </c>
      <c r="F10" s="125"/>
      <c r="G10" s="189" t="s">
        <v>15</v>
      </c>
      <c r="H10" s="177"/>
      <c r="I10" s="190"/>
    </row>
    <row r="11" spans="1:9" ht="13.8" x14ac:dyDescent="0.25">
      <c r="A11" s="191" t="s">
        <v>46</v>
      </c>
      <c r="B11" s="52"/>
      <c r="C11" s="52"/>
      <c r="D11" s="52"/>
      <c r="E11" s="52"/>
      <c r="F11" s="52"/>
      <c r="G11" s="52"/>
      <c r="H11" s="177"/>
      <c r="I11" s="190"/>
    </row>
    <row r="12" spans="1:9" x14ac:dyDescent="0.25">
      <c r="A12" s="176" t="s">
        <v>47</v>
      </c>
      <c r="B12" s="192">
        <f>+'Month 1'!O3</f>
        <v>40658</v>
      </c>
      <c r="C12" s="52"/>
      <c r="D12" s="193" t="s">
        <v>19</v>
      </c>
      <c r="E12" s="194">
        <f>+'Month 1'!E19+'Month 1'!F19</f>
        <v>0</v>
      </c>
      <c r="F12" s="195" t="s">
        <v>20</v>
      </c>
      <c r="G12" s="194">
        <f>+'Month 1'!G19</f>
        <v>0</v>
      </c>
      <c r="H12" s="177"/>
      <c r="I12" s="190"/>
    </row>
    <row r="13" spans="1:9" x14ac:dyDescent="0.25">
      <c r="A13" s="176" t="s">
        <v>48</v>
      </c>
      <c r="B13" s="192">
        <f>+'Month 2'!O3</f>
        <v>40689</v>
      </c>
      <c r="C13" s="52"/>
      <c r="D13" s="193" t="s">
        <v>19</v>
      </c>
      <c r="E13" s="194">
        <f>+'Month 2'!E19+'Month 2'!F19</f>
        <v>0</v>
      </c>
      <c r="F13" s="195" t="s">
        <v>20</v>
      </c>
      <c r="G13" s="194">
        <f>+'Month 2'!G19</f>
        <v>0</v>
      </c>
      <c r="H13" s="177"/>
      <c r="I13" s="190"/>
    </row>
    <row r="14" spans="1:9" x14ac:dyDescent="0.25">
      <c r="A14" s="176" t="s">
        <v>49</v>
      </c>
      <c r="B14" s="192">
        <f>+'Month 3'!O3</f>
        <v>40720</v>
      </c>
      <c r="C14" s="52"/>
      <c r="D14" s="193" t="s">
        <v>19</v>
      </c>
      <c r="E14" s="194">
        <f>+'Month 3'!E19+'Month 3'!F19</f>
        <v>0</v>
      </c>
      <c r="F14" s="195" t="s">
        <v>20</v>
      </c>
      <c r="G14" s="194">
        <f>+'Month 3'!G19</f>
        <v>0</v>
      </c>
      <c r="H14" s="177"/>
      <c r="I14" s="190"/>
    </row>
    <row r="15" spans="1:9" ht="13.8" thickBot="1" x14ac:dyDescent="0.3">
      <c r="A15" s="176" t="s">
        <v>125</v>
      </c>
      <c r="B15" s="52"/>
      <c r="C15" s="52"/>
      <c r="D15" s="52"/>
      <c r="E15" s="196"/>
      <c r="F15" s="52"/>
      <c r="G15" s="196"/>
      <c r="H15" s="177"/>
      <c r="I15" s="190"/>
    </row>
    <row r="16" spans="1:9" ht="13.8" thickBot="1" x14ac:dyDescent="0.3">
      <c r="A16" s="176"/>
      <c r="B16" s="52"/>
      <c r="C16" s="52"/>
      <c r="D16" s="197"/>
      <c r="E16" s="198">
        <f>SUM(E12:E15)</f>
        <v>0</v>
      </c>
      <c r="F16" s="93"/>
      <c r="G16" s="121"/>
      <c r="H16" s="177"/>
      <c r="I16" s="243">
        <f>+E16+G21</f>
        <v>0</v>
      </c>
    </row>
    <row r="17" spans="1:9" x14ac:dyDescent="0.25">
      <c r="A17" s="249" t="s">
        <v>167</v>
      </c>
      <c r="B17" s="52"/>
      <c r="C17" s="52"/>
      <c r="D17" s="197"/>
      <c r="E17" s="241"/>
      <c r="F17" s="93"/>
      <c r="G17" s="121"/>
      <c r="H17" s="177"/>
      <c r="I17" s="247" t="s">
        <v>168</v>
      </c>
    </row>
    <row r="18" spans="1:9" ht="13.8" thickBot="1" x14ac:dyDescent="0.3">
      <c r="A18" s="249" t="s">
        <v>166</v>
      </c>
      <c r="B18" s="52"/>
      <c r="C18" s="52"/>
      <c r="D18" s="197"/>
      <c r="E18" s="241"/>
      <c r="F18" s="93"/>
      <c r="G18" s="121"/>
      <c r="H18" s="177"/>
      <c r="I18" s="248" t="s">
        <v>168</v>
      </c>
    </row>
    <row r="19" spans="1:9" ht="13.8" thickBot="1" x14ac:dyDescent="0.3">
      <c r="A19" s="176"/>
      <c r="B19" s="52"/>
      <c r="C19" s="52"/>
      <c r="D19" s="197"/>
      <c r="E19" s="241"/>
      <c r="F19" s="93"/>
      <c r="G19" s="121"/>
      <c r="H19" s="177"/>
      <c r="I19" s="198">
        <f>SUM(I16:I18)</f>
        <v>0</v>
      </c>
    </row>
    <row r="20" spans="1:9" ht="13.8" thickBot="1" x14ac:dyDescent="0.3">
      <c r="A20" s="176"/>
      <c r="B20" s="52"/>
      <c r="C20" s="52"/>
      <c r="D20" s="52"/>
      <c r="E20" s="93"/>
      <c r="H20" s="177"/>
      <c r="I20" s="242"/>
    </row>
    <row r="21" spans="1:9" ht="13.8" thickBot="1" x14ac:dyDescent="0.3">
      <c r="A21" s="176" t="s">
        <v>164</v>
      </c>
      <c r="B21" s="52"/>
      <c r="C21" s="52"/>
      <c r="D21" s="52"/>
      <c r="E21" s="199"/>
      <c r="F21" s="177" t="s">
        <v>50</v>
      </c>
      <c r="G21" s="198">
        <f>SUM(G12:G16)</f>
        <v>0</v>
      </c>
      <c r="H21" s="177"/>
      <c r="I21" s="198">
        <f>+I9*I19</f>
        <v>0</v>
      </c>
    </row>
    <row r="22" spans="1:9" x14ac:dyDescent="0.25">
      <c r="A22" s="176"/>
      <c r="B22" s="52"/>
      <c r="C22" s="52"/>
      <c r="D22" s="52"/>
      <c r="E22" s="93"/>
      <c r="F22" s="93"/>
      <c r="G22" s="93"/>
      <c r="H22" s="177"/>
      <c r="I22" s="37"/>
    </row>
    <row r="23" spans="1:9" ht="13.8" x14ac:dyDescent="0.25">
      <c r="A23" s="191" t="s">
        <v>51</v>
      </c>
      <c r="B23" s="52"/>
      <c r="C23" s="52"/>
      <c r="D23" s="52"/>
      <c r="E23" s="93"/>
      <c r="F23" s="93"/>
      <c r="G23" s="93"/>
      <c r="H23" s="177"/>
      <c r="I23" s="37"/>
    </row>
    <row r="24" spans="1:9" x14ac:dyDescent="0.25">
      <c r="A24" s="200" t="s">
        <v>95</v>
      </c>
      <c r="B24" s="52"/>
      <c r="C24" s="52"/>
      <c r="D24" s="52"/>
      <c r="E24" s="93"/>
      <c r="F24" s="52"/>
      <c r="G24" s="52"/>
      <c r="H24" s="177"/>
      <c r="I24" s="37"/>
    </row>
    <row r="25" spans="1:9" x14ac:dyDescent="0.25">
      <c r="A25" s="176" t="s">
        <v>47</v>
      </c>
      <c r="B25" s="192">
        <f>+'Month 1'!O3</f>
        <v>40658</v>
      </c>
      <c r="C25" s="52"/>
      <c r="D25" s="52"/>
      <c r="E25" s="93"/>
      <c r="F25" s="195" t="s">
        <v>27</v>
      </c>
      <c r="G25" s="194">
        <f>+'Month 1'!O42</f>
        <v>0</v>
      </c>
      <c r="H25" s="177"/>
      <c r="I25" s="37"/>
    </row>
    <row r="26" spans="1:9" x14ac:dyDescent="0.25">
      <c r="A26" s="176" t="s">
        <v>48</v>
      </c>
      <c r="B26" s="192">
        <f>+'Month 2'!O3</f>
        <v>40689</v>
      </c>
      <c r="C26" s="52"/>
      <c r="D26" s="52"/>
      <c r="E26" s="93"/>
      <c r="F26" s="195" t="s">
        <v>27</v>
      </c>
      <c r="G26" s="194">
        <f>+'Month 2'!O42</f>
        <v>0</v>
      </c>
      <c r="H26" s="177"/>
      <c r="I26" s="37"/>
    </row>
    <row r="27" spans="1:9" x14ac:dyDescent="0.25">
      <c r="A27" s="176" t="s">
        <v>49</v>
      </c>
      <c r="B27" s="192">
        <f>+'Month 3'!O3</f>
        <v>40720</v>
      </c>
      <c r="C27" s="62"/>
      <c r="D27" s="52"/>
      <c r="E27" s="93"/>
      <c r="F27" s="195" t="s">
        <v>27</v>
      </c>
      <c r="G27" s="194">
        <f>+'Month 3'!O42</f>
        <v>0</v>
      </c>
      <c r="H27" s="177"/>
      <c r="I27" s="37"/>
    </row>
    <row r="28" spans="1:9" x14ac:dyDescent="0.25">
      <c r="A28" s="200" t="s">
        <v>25</v>
      </c>
      <c r="B28" s="201"/>
      <c r="C28" s="52"/>
      <c r="D28" s="52"/>
      <c r="E28" s="93"/>
      <c r="F28" s="195"/>
      <c r="G28" s="194"/>
      <c r="H28" s="177"/>
      <c r="I28" s="37"/>
    </row>
    <row r="29" spans="1:9" x14ac:dyDescent="0.25">
      <c r="A29" s="176" t="s">
        <v>47</v>
      </c>
      <c r="B29" s="192">
        <f>+'Month 1'!O3</f>
        <v>40658</v>
      </c>
      <c r="C29" s="52"/>
      <c r="D29" s="52"/>
      <c r="E29" s="93"/>
      <c r="F29" s="195" t="s">
        <v>41</v>
      </c>
      <c r="G29" s="194">
        <f>+'Month 1'!O88</f>
        <v>0</v>
      </c>
      <c r="H29" s="177"/>
      <c r="I29" s="37"/>
    </row>
    <row r="30" spans="1:9" x14ac:dyDescent="0.25">
      <c r="A30" s="176" t="s">
        <v>48</v>
      </c>
      <c r="B30" s="192">
        <f>+'Month 2'!O3</f>
        <v>40689</v>
      </c>
      <c r="C30" s="52"/>
      <c r="D30" s="52"/>
      <c r="E30" s="93"/>
      <c r="F30" s="195" t="s">
        <v>41</v>
      </c>
      <c r="G30" s="194">
        <f>+'Month 2'!O88</f>
        <v>0</v>
      </c>
      <c r="H30" s="177"/>
      <c r="I30" s="37"/>
    </row>
    <row r="31" spans="1:9" x14ac:dyDescent="0.25">
      <c r="A31" s="176" t="s">
        <v>49</v>
      </c>
      <c r="B31" s="192">
        <f>+'Month 3'!O3</f>
        <v>40720</v>
      </c>
      <c r="C31" s="62"/>
      <c r="D31" s="52"/>
      <c r="E31" s="93"/>
      <c r="F31" s="195" t="s">
        <v>41</v>
      </c>
      <c r="G31" s="194">
        <f>+'Month 3'!O88</f>
        <v>0</v>
      </c>
      <c r="H31" s="177"/>
      <c r="I31" s="37"/>
    </row>
    <row r="32" spans="1:9" x14ac:dyDescent="0.25">
      <c r="A32" s="176"/>
      <c r="B32" s="52"/>
      <c r="C32" s="52"/>
      <c r="D32" s="52"/>
      <c r="E32" s="93"/>
      <c r="F32" s="93"/>
      <c r="G32" s="202"/>
      <c r="H32" s="177"/>
      <c r="I32" s="37"/>
    </row>
    <row r="33" spans="1:9" ht="13.8" thickBot="1" x14ac:dyDescent="0.3">
      <c r="A33" s="176"/>
      <c r="B33" s="52"/>
      <c r="C33" s="52"/>
      <c r="D33" s="52"/>
      <c r="E33" s="93"/>
      <c r="F33" s="93"/>
      <c r="G33" s="98"/>
      <c r="H33" s="177"/>
      <c r="I33" s="37"/>
    </row>
    <row r="34" spans="1:9" ht="13.8" thickBot="1" x14ac:dyDescent="0.3">
      <c r="A34" s="176" t="s">
        <v>165</v>
      </c>
      <c r="B34" s="52"/>
      <c r="C34" s="52"/>
      <c r="D34" s="52"/>
      <c r="E34" s="199"/>
      <c r="F34" s="177" t="s">
        <v>52</v>
      </c>
      <c r="G34" s="198">
        <f>SUM(G25:G33)</f>
        <v>0</v>
      </c>
      <c r="H34" s="177"/>
      <c r="I34" s="37"/>
    </row>
    <row r="35" spans="1:9" ht="13.8" thickBot="1" x14ac:dyDescent="0.3">
      <c r="A35" s="176"/>
      <c r="B35" s="52"/>
      <c r="C35" s="52"/>
      <c r="D35" s="52"/>
      <c r="E35" s="118"/>
      <c r="F35" s="118"/>
      <c r="G35" s="121"/>
      <c r="H35" s="177"/>
      <c r="I35" s="37"/>
    </row>
    <row r="36" spans="1:9" ht="14.4" thickBot="1" x14ac:dyDescent="0.3">
      <c r="A36" s="203" t="s">
        <v>53</v>
      </c>
      <c r="E36" s="125" t="s">
        <v>54</v>
      </c>
      <c r="F36" s="118"/>
      <c r="G36" s="198">
        <f>SUM(G21-G34)</f>
        <v>0</v>
      </c>
      <c r="H36" s="177"/>
      <c r="I36" s="37"/>
    </row>
    <row r="37" spans="1:9" ht="13.8" thickBot="1" x14ac:dyDescent="0.3">
      <c r="A37" s="204"/>
      <c r="B37" s="205"/>
      <c r="C37" s="205"/>
      <c r="D37" s="205"/>
      <c r="E37" s="72"/>
      <c r="F37" s="72"/>
      <c r="G37" s="72"/>
      <c r="H37" s="206"/>
      <c r="I37" s="207"/>
    </row>
    <row r="39" spans="1:9" ht="13.8" thickBot="1" x14ac:dyDescent="0.3"/>
    <row r="40" spans="1:9" ht="18" thickBot="1" x14ac:dyDescent="0.3">
      <c r="A40" s="172" t="s">
        <v>90</v>
      </c>
    </row>
    <row r="41" spans="1:9" x14ac:dyDescent="0.25">
      <c r="G41" s="208" t="s">
        <v>111</v>
      </c>
      <c r="H41" s="19"/>
      <c r="I41" s="183" t="s">
        <v>43</v>
      </c>
    </row>
    <row r="42" spans="1:9" ht="13.8" thickBot="1" x14ac:dyDescent="0.3">
      <c r="G42" s="209" t="s">
        <v>112</v>
      </c>
      <c r="H42" s="19"/>
      <c r="I42" s="184" t="s">
        <v>44</v>
      </c>
    </row>
    <row r="43" spans="1:9" ht="14.25" customHeight="1" thickBot="1" x14ac:dyDescent="0.3">
      <c r="A43" s="233" t="s">
        <v>91</v>
      </c>
      <c r="B43" s="211"/>
      <c r="C43" s="211"/>
      <c r="D43" s="212"/>
      <c r="E43" s="15">
        <v>1</v>
      </c>
      <c r="F43" s="39"/>
      <c r="G43" s="55">
        <f>+G21</f>
        <v>0</v>
      </c>
      <c r="H43" s="40"/>
      <c r="I43" s="56">
        <f>I21</f>
        <v>0</v>
      </c>
    </row>
    <row r="44" spans="1:9" ht="5.0999999999999996" customHeight="1" thickBot="1" x14ac:dyDescent="0.3">
      <c r="A44" s="230"/>
      <c r="B44" s="214"/>
      <c r="C44" s="214"/>
      <c r="D44" s="52"/>
      <c r="E44" s="18"/>
      <c r="G44" s="41"/>
      <c r="H44" s="21"/>
      <c r="I44" s="22"/>
    </row>
    <row r="45" spans="1:9" ht="13.5" customHeight="1" x14ac:dyDescent="0.25">
      <c r="A45" s="234" t="s">
        <v>96</v>
      </c>
      <c r="B45" s="216"/>
      <c r="C45" s="216"/>
      <c r="D45" s="217"/>
      <c r="E45" s="309">
        <v>2</v>
      </c>
      <c r="F45" s="42"/>
      <c r="G45" s="319" t="s">
        <v>118</v>
      </c>
      <c r="H45" s="43"/>
      <c r="I45" s="321" t="s">
        <v>118</v>
      </c>
    </row>
    <row r="46" spans="1:9" ht="13.8" thickBot="1" x14ac:dyDescent="0.3">
      <c r="A46" s="231" t="s">
        <v>98</v>
      </c>
      <c r="B46" s="219"/>
      <c r="C46" s="219"/>
      <c r="D46" s="220"/>
      <c r="E46" s="310"/>
      <c r="F46" s="44"/>
      <c r="G46" s="320"/>
      <c r="H46" s="45"/>
      <c r="I46" s="322"/>
    </row>
    <row r="47" spans="1:9" ht="5.0999999999999996" customHeight="1" thickBot="1" x14ac:dyDescent="0.3">
      <c r="A47" s="230"/>
      <c r="B47" s="214"/>
      <c r="C47" s="214"/>
      <c r="D47" s="52"/>
      <c r="E47" s="18"/>
      <c r="G47" s="41"/>
      <c r="H47" s="21"/>
      <c r="I47" s="22"/>
    </row>
    <row r="48" spans="1:9" ht="14.25" customHeight="1" thickBot="1" x14ac:dyDescent="0.3">
      <c r="A48" s="233" t="s">
        <v>93</v>
      </c>
      <c r="B48" s="211"/>
      <c r="C48" s="211"/>
      <c r="D48" s="212"/>
      <c r="E48" s="15">
        <v>3</v>
      </c>
      <c r="F48" s="39"/>
      <c r="G48" s="55">
        <f>SUM(G43:G45)</f>
        <v>0</v>
      </c>
      <c r="H48" s="40"/>
      <c r="I48" s="56">
        <f>SUM(I43:I45)</f>
        <v>0</v>
      </c>
    </row>
    <row r="49" spans="1:9" ht="5.0999999999999996" customHeight="1" thickBot="1" x14ac:dyDescent="0.3">
      <c r="A49" s="235"/>
      <c r="B49" s="214"/>
      <c r="C49" s="214"/>
      <c r="D49" s="52"/>
      <c r="E49" s="18"/>
      <c r="G49" s="41"/>
      <c r="H49" s="21"/>
      <c r="I49" s="22"/>
    </row>
    <row r="50" spans="1:9" ht="13.5" customHeight="1" x14ac:dyDescent="0.25">
      <c r="A50" s="234" t="s">
        <v>99</v>
      </c>
      <c r="B50" s="216"/>
      <c r="C50" s="216"/>
      <c r="D50" s="217"/>
      <c r="E50" s="309">
        <v>4</v>
      </c>
      <c r="F50" s="42"/>
      <c r="G50" s="317">
        <f>G34</f>
        <v>0</v>
      </c>
      <c r="H50" s="43"/>
      <c r="I50" s="321">
        <v>0</v>
      </c>
    </row>
    <row r="51" spans="1:9" ht="13.5" customHeight="1" thickBot="1" x14ac:dyDescent="0.3">
      <c r="A51" s="231" t="s">
        <v>100</v>
      </c>
      <c r="B51" s="219"/>
      <c r="C51" s="219"/>
      <c r="D51" s="220"/>
      <c r="E51" s="310"/>
      <c r="F51" s="44"/>
      <c r="G51" s="318"/>
      <c r="H51" s="45"/>
      <c r="I51" s="322"/>
    </row>
    <row r="52" spans="1:9" ht="5.0999999999999996" customHeight="1" thickBot="1" x14ac:dyDescent="0.3">
      <c r="A52" s="230"/>
      <c r="B52" s="214"/>
      <c r="C52" s="214"/>
      <c r="D52" s="52"/>
      <c r="E52" s="18"/>
      <c r="G52" s="41"/>
      <c r="H52" s="21"/>
      <c r="I52" s="22"/>
    </row>
    <row r="53" spans="1:9" ht="13.5" customHeight="1" x14ac:dyDescent="0.25">
      <c r="A53" s="222" t="s">
        <v>101</v>
      </c>
      <c r="B53" s="223"/>
      <c r="C53" s="224"/>
      <c r="D53" s="224"/>
      <c r="E53" s="311">
        <v>5</v>
      </c>
      <c r="F53" s="46"/>
      <c r="G53" s="317">
        <f>+G48-G50</f>
        <v>0</v>
      </c>
      <c r="H53" s="43"/>
      <c r="I53" s="321">
        <f>+I48-I50</f>
        <v>0</v>
      </c>
    </row>
    <row r="54" spans="1:9" ht="13.8" thickBot="1" x14ac:dyDescent="0.3">
      <c r="A54" s="225" t="s">
        <v>102</v>
      </c>
      <c r="B54" s="226"/>
      <c r="C54" s="227"/>
      <c r="D54" s="227"/>
      <c r="E54" s="312"/>
      <c r="F54" s="47"/>
      <c r="G54" s="318"/>
      <c r="H54" s="45"/>
      <c r="I54" s="322"/>
    </row>
    <row r="55" spans="1:9" ht="5.0999999999999996" customHeight="1" thickBot="1" x14ac:dyDescent="0.3">
      <c r="A55" s="52"/>
      <c r="B55" s="52"/>
      <c r="C55" s="52"/>
      <c r="D55" s="52"/>
      <c r="E55" s="29"/>
      <c r="G55" s="48"/>
      <c r="H55" s="19"/>
      <c r="I55" s="31"/>
    </row>
    <row r="56" spans="1:9" ht="13.5" customHeight="1" x14ac:dyDescent="0.25">
      <c r="A56" s="234" t="s">
        <v>103</v>
      </c>
      <c r="B56" s="228"/>
      <c r="C56" s="228"/>
      <c r="D56" s="217"/>
      <c r="E56" s="309">
        <v>6</v>
      </c>
      <c r="F56" s="42"/>
      <c r="G56" s="313">
        <f>+E16</f>
        <v>0</v>
      </c>
      <c r="H56" s="49"/>
      <c r="I56" s="315">
        <f>+I19</f>
        <v>0</v>
      </c>
    </row>
    <row r="57" spans="1:9" ht="13.8" thickBot="1" x14ac:dyDescent="0.3">
      <c r="A57" s="231" t="s">
        <v>104</v>
      </c>
      <c r="B57" s="229"/>
      <c r="C57" s="229"/>
      <c r="D57" s="220"/>
      <c r="E57" s="310"/>
      <c r="F57" s="44"/>
      <c r="G57" s="314"/>
      <c r="H57" s="50"/>
      <c r="I57" s="316"/>
    </row>
    <row r="58" spans="1:9" ht="5.0999999999999996" customHeight="1" thickBot="1" x14ac:dyDescent="0.3">
      <c r="A58" s="230"/>
      <c r="B58" s="230"/>
      <c r="C58" s="230"/>
      <c r="D58" s="52"/>
      <c r="E58" s="18"/>
      <c r="G58" s="51"/>
      <c r="H58" s="35"/>
      <c r="I58" s="36"/>
    </row>
    <row r="59" spans="1:9" ht="13.5" customHeight="1" x14ac:dyDescent="0.25">
      <c r="A59" s="234" t="s">
        <v>105</v>
      </c>
      <c r="B59" s="228"/>
      <c r="C59" s="228"/>
      <c r="D59" s="217"/>
      <c r="E59" s="309">
        <v>7</v>
      </c>
      <c r="F59" s="42"/>
      <c r="G59" s="313">
        <f>SUM(G50/20%)</f>
        <v>0</v>
      </c>
      <c r="H59" s="49"/>
      <c r="I59" s="315">
        <f>SUM(I50/20%)</f>
        <v>0</v>
      </c>
    </row>
    <row r="60" spans="1:9" ht="13.8" thickBot="1" x14ac:dyDescent="0.3">
      <c r="A60" s="231" t="s">
        <v>119</v>
      </c>
      <c r="B60" s="229"/>
      <c r="C60" s="229"/>
      <c r="D60" s="220"/>
      <c r="E60" s="310"/>
      <c r="F60" s="52"/>
      <c r="G60" s="314"/>
      <c r="H60" s="50"/>
      <c r="I60" s="316"/>
    </row>
    <row r="61" spans="1:9" ht="5.0999999999999996" customHeight="1" thickBot="1" x14ac:dyDescent="0.3">
      <c r="A61" s="230"/>
      <c r="B61" s="230"/>
      <c r="C61" s="230"/>
      <c r="D61" s="52"/>
      <c r="E61" s="18"/>
      <c r="F61" s="47"/>
      <c r="G61" s="51"/>
      <c r="H61" s="35"/>
      <c r="I61" s="36"/>
    </row>
    <row r="62" spans="1:9" ht="13.5" customHeight="1" x14ac:dyDescent="0.25">
      <c r="A62" s="234" t="s">
        <v>108</v>
      </c>
      <c r="B62" s="228"/>
      <c r="C62" s="228"/>
      <c r="D62" s="217"/>
      <c r="E62" s="309">
        <v>8</v>
      </c>
      <c r="F62" s="42"/>
      <c r="G62" s="313" t="s">
        <v>118</v>
      </c>
      <c r="H62" s="49"/>
      <c r="I62" s="315" t="s">
        <v>118</v>
      </c>
    </row>
    <row r="63" spans="1:9" ht="13.8" thickBot="1" x14ac:dyDescent="0.3">
      <c r="A63" s="231" t="s">
        <v>107</v>
      </c>
      <c r="B63" s="229"/>
      <c r="C63" s="229"/>
      <c r="D63" s="220"/>
      <c r="E63" s="310"/>
      <c r="F63" s="44"/>
      <c r="G63" s="314"/>
      <c r="H63" s="50"/>
      <c r="I63" s="316"/>
    </row>
    <row r="64" spans="1:9" ht="5.0999999999999996" customHeight="1" thickBot="1" x14ac:dyDescent="0.3">
      <c r="A64" s="230"/>
      <c r="B64" s="230"/>
      <c r="C64" s="230"/>
      <c r="D64" s="52"/>
      <c r="E64" s="18"/>
      <c r="G64" s="51"/>
      <c r="H64" s="35"/>
      <c r="I64" s="36"/>
    </row>
    <row r="65" spans="1:9" ht="13.5" customHeight="1" x14ac:dyDescent="0.25">
      <c r="A65" s="234" t="s">
        <v>109</v>
      </c>
      <c r="B65" s="228"/>
      <c r="C65" s="228"/>
      <c r="D65" s="217"/>
      <c r="E65" s="309">
        <v>9</v>
      </c>
      <c r="F65" s="42"/>
      <c r="G65" s="313" t="s">
        <v>118</v>
      </c>
      <c r="H65" s="49"/>
      <c r="I65" s="315" t="s">
        <v>118</v>
      </c>
    </row>
    <row r="66" spans="1:9" ht="13.8" thickBot="1" x14ac:dyDescent="0.3">
      <c r="A66" s="231" t="s">
        <v>106</v>
      </c>
      <c r="B66" s="229"/>
      <c r="C66" s="229"/>
      <c r="D66" s="220"/>
      <c r="E66" s="310"/>
      <c r="F66" s="44"/>
      <c r="G66" s="323"/>
      <c r="H66" s="53"/>
      <c r="I66" s="324"/>
    </row>
  </sheetData>
  <customSheetViews>
    <customSheetView guid="{93A5533C-1BF0-4CFD-B527-DBAD1AD08F71}" fitToPage="1" showRuler="0">
      <pageMargins left="0.59055118110236227" right="0.15748031496062992" top="0.59055118110236227" bottom="0.59055118110236227" header="0.31496062992125984" footer="0.31496062992125984"/>
      <printOptions horizontalCentered="1"/>
      <pageSetup paperSize="9" scale="93" orientation="portrait" r:id="rId1"/>
      <headerFooter alignWithMargins="0">
        <oddHeader>&amp;C&amp;A</oddHeader>
        <oddFooter>&amp;L&amp;8&amp;F&amp;C&amp;8Page &amp;P&amp;R&amp;8&amp;D</oddFooter>
      </headerFooter>
    </customSheetView>
  </customSheetViews>
  <mergeCells count="21">
    <mergeCell ref="G65:G66"/>
    <mergeCell ref="I65:I66"/>
    <mergeCell ref="I59:I60"/>
    <mergeCell ref="G62:G63"/>
    <mergeCell ref="G59:G60"/>
    <mergeCell ref="I62:I63"/>
    <mergeCell ref="G56:G57"/>
    <mergeCell ref="I56:I57"/>
    <mergeCell ref="G53:G54"/>
    <mergeCell ref="G45:G46"/>
    <mergeCell ref="I50:I51"/>
    <mergeCell ref="I53:I54"/>
    <mergeCell ref="I45:I46"/>
    <mergeCell ref="G50:G51"/>
    <mergeCell ref="E59:E60"/>
    <mergeCell ref="E62:E63"/>
    <mergeCell ref="E65:E66"/>
    <mergeCell ref="E45:E46"/>
    <mergeCell ref="E50:E51"/>
    <mergeCell ref="E53:E54"/>
    <mergeCell ref="E56:E57"/>
  </mergeCells>
  <phoneticPr fontId="0" type="noConversion"/>
  <printOptions horizontalCentered="1"/>
  <pageMargins left="0.59055118110236227" right="0.15748031496062992" top="0.59055118110236227" bottom="0.59055118110236227" header="0.31496062992125984" footer="0.31496062992125984"/>
  <pageSetup paperSize="9" scale="93" orientation="portrait" r:id="rId2"/>
  <headerFooter alignWithMargins="0">
    <oddHeader>&amp;CVAT Summary - &amp;A</oddHeader>
    <oddFooter>&amp;L&amp;6&amp;Z&amp;F\&amp;A&amp;C&amp;8Page &amp;P&amp;R&amp;8&amp;D  &amp;T</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A1:I66"/>
  <sheetViews>
    <sheetView workbookViewId="0">
      <selection activeCell="I9" sqref="I9"/>
    </sheetView>
  </sheetViews>
  <sheetFormatPr defaultColWidth="9.109375" defaultRowHeight="13.2" x14ac:dyDescent="0.25"/>
  <cols>
    <col min="1" max="1" width="22.5546875" style="19" bestFit="1" customWidth="1"/>
    <col min="2" max="2" width="7.88671875" style="19" customWidth="1"/>
    <col min="3" max="3" width="3.5546875" style="19" bestFit="1" customWidth="1"/>
    <col min="4" max="4" width="14.88671875" style="19" customWidth="1"/>
    <col min="5" max="5" width="11.33203125" style="19" customWidth="1"/>
    <col min="6" max="6" width="2.44140625" style="19" bestFit="1" customWidth="1"/>
    <col min="7" max="7" width="9.109375" style="19"/>
    <col min="8" max="8" width="3" style="29" customWidth="1"/>
    <col min="9" max="9" width="11.33203125" style="19" customWidth="1"/>
    <col min="10" max="16384" width="9.109375" style="19"/>
  </cols>
  <sheetData>
    <row r="1" spans="1:9" ht="16.2" thickBot="1" x14ac:dyDescent="0.3">
      <c r="A1" s="169" t="str">
        <f>'Company Info'!B5</f>
        <v>ABC Limited</v>
      </c>
      <c r="B1" s="170"/>
      <c r="C1" s="170"/>
      <c r="D1" s="171"/>
    </row>
    <row r="2" spans="1:9" ht="13.8" thickBot="1" x14ac:dyDescent="0.3"/>
    <row r="3" spans="1:9" ht="18" thickBot="1" x14ac:dyDescent="0.3">
      <c r="A3" s="172" t="s">
        <v>89</v>
      </c>
      <c r="B3" s="173"/>
      <c r="C3" s="173"/>
      <c r="D3" s="173"/>
      <c r="E3" s="173"/>
      <c r="F3" s="173"/>
      <c r="G3" s="173"/>
      <c r="H3" s="174"/>
      <c r="I3" s="175"/>
    </row>
    <row r="4" spans="1:9" x14ac:dyDescent="0.25">
      <c r="A4" s="176"/>
      <c r="B4" s="52"/>
      <c r="C4" s="52"/>
      <c r="D4" s="52"/>
      <c r="E4" s="52"/>
      <c r="F4" s="52"/>
      <c r="G4" s="52"/>
      <c r="H4" s="177"/>
      <c r="I4" s="37"/>
    </row>
    <row r="5" spans="1:9" ht="13.8" x14ac:dyDescent="0.25">
      <c r="A5" s="178" t="s">
        <v>42</v>
      </c>
      <c r="B5" s="179">
        <f>'Month 4'!O3</f>
        <v>40751</v>
      </c>
      <c r="C5" s="180" t="s">
        <v>110</v>
      </c>
      <c r="D5" s="181">
        <f>'Month 6'!O3</f>
        <v>40813</v>
      </c>
      <c r="E5" s="182"/>
      <c r="F5" s="52"/>
      <c r="G5" s="52"/>
      <c r="H5" s="177"/>
      <c r="I5" s="37"/>
    </row>
    <row r="6" spans="1:9" ht="14.4" thickBot="1" x14ac:dyDescent="0.3">
      <c r="A6" s="178"/>
      <c r="B6" s="179"/>
      <c r="C6" s="180"/>
      <c r="D6" s="181"/>
      <c r="E6" s="182"/>
      <c r="F6" s="52"/>
      <c r="G6" s="52"/>
      <c r="H6" s="177"/>
      <c r="I6" s="37"/>
    </row>
    <row r="7" spans="1:9" x14ac:dyDescent="0.25">
      <c r="A7" s="176"/>
      <c r="B7" s="52"/>
      <c r="C7" s="52"/>
      <c r="D7" s="52"/>
      <c r="E7" s="52"/>
      <c r="F7" s="52"/>
      <c r="G7" s="52"/>
      <c r="H7" s="177"/>
      <c r="I7" s="183" t="s">
        <v>43</v>
      </c>
    </row>
    <row r="8" spans="1:9" x14ac:dyDescent="0.25">
      <c r="A8" s="246"/>
      <c r="B8" s="52"/>
      <c r="C8" s="52"/>
      <c r="D8" s="52"/>
      <c r="E8" s="52"/>
      <c r="F8" s="52"/>
      <c r="G8" s="52"/>
      <c r="H8" s="177"/>
      <c r="I8" s="184" t="s">
        <v>44</v>
      </c>
    </row>
    <row r="9" spans="1:9" x14ac:dyDescent="0.25">
      <c r="A9" s="176"/>
      <c r="B9" s="52"/>
      <c r="C9" s="52"/>
      <c r="D9" s="52"/>
      <c r="E9" s="52"/>
      <c r="F9" s="52"/>
      <c r="G9" s="185"/>
      <c r="H9" s="186"/>
      <c r="I9" s="187">
        <f>+'VAT 1st Qtr'!I9</f>
        <v>0.13500000000000001</v>
      </c>
    </row>
    <row r="10" spans="1:9" x14ac:dyDescent="0.25">
      <c r="A10" s="176"/>
      <c r="B10" s="52"/>
      <c r="C10" s="52"/>
      <c r="D10" s="52"/>
      <c r="E10" s="188" t="s">
        <v>45</v>
      </c>
      <c r="F10" s="125"/>
      <c r="G10" s="189" t="s">
        <v>15</v>
      </c>
      <c r="H10" s="177"/>
      <c r="I10" s="190"/>
    </row>
    <row r="11" spans="1:9" ht="13.8" x14ac:dyDescent="0.25">
      <c r="A11" s="191" t="s">
        <v>46</v>
      </c>
      <c r="B11" s="52"/>
      <c r="C11" s="52"/>
      <c r="D11" s="52"/>
      <c r="E11" s="52"/>
      <c r="F11" s="52"/>
      <c r="G11" s="52"/>
      <c r="H11" s="177"/>
      <c r="I11" s="190"/>
    </row>
    <row r="12" spans="1:9" x14ac:dyDescent="0.25">
      <c r="A12" s="176" t="s">
        <v>47</v>
      </c>
      <c r="B12" s="192">
        <f>+'Month 4'!O3</f>
        <v>40751</v>
      </c>
      <c r="C12" s="52"/>
      <c r="D12" s="193" t="s">
        <v>19</v>
      </c>
      <c r="E12" s="194">
        <f>+'Month 4'!E19+'Month 4'!F19</f>
        <v>0</v>
      </c>
      <c r="F12" s="195" t="s">
        <v>20</v>
      </c>
      <c r="G12" s="194">
        <f>+'Month 4'!G19</f>
        <v>0</v>
      </c>
      <c r="H12" s="177"/>
      <c r="I12" s="190"/>
    </row>
    <row r="13" spans="1:9" x14ac:dyDescent="0.25">
      <c r="A13" s="176" t="s">
        <v>48</v>
      </c>
      <c r="B13" s="192">
        <f>+'Month 5'!O3</f>
        <v>40782</v>
      </c>
      <c r="C13" s="52"/>
      <c r="D13" s="193" t="s">
        <v>19</v>
      </c>
      <c r="E13" s="194">
        <f>+'Month 5'!E19+'Month 5'!F19</f>
        <v>0</v>
      </c>
      <c r="F13" s="195" t="s">
        <v>20</v>
      </c>
      <c r="G13" s="194">
        <f>+'Month 5'!G19</f>
        <v>0</v>
      </c>
      <c r="H13" s="177"/>
      <c r="I13" s="190"/>
    </row>
    <row r="14" spans="1:9" x14ac:dyDescent="0.25">
      <c r="A14" s="176" t="s">
        <v>49</v>
      </c>
      <c r="B14" s="192">
        <f>+'Month 6'!O3</f>
        <v>40813</v>
      </c>
      <c r="C14" s="52"/>
      <c r="D14" s="193" t="s">
        <v>19</v>
      </c>
      <c r="E14" s="194">
        <f>+'Month 6'!E19+'Month 6'!F19</f>
        <v>0</v>
      </c>
      <c r="F14" s="195" t="s">
        <v>20</v>
      </c>
      <c r="G14" s="194">
        <f>+'Month 6'!G19</f>
        <v>0</v>
      </c>
      <c r="H14" s="177"/>
      <c r="I14" s="190"/>
    </row>
    <row r="15" spans="1:9" ht="13.8" thickBot="1" x14ac:dyDescent="0.3">
      <c r="A15" s="176" t="s">
        <v>125</v>
      </c>
      <c r="B15" s="52"/>
      <c r="C15" s="52"/>
      <c r="D15" s="52"/>
      <c r="E15" s="196"/>
      <c r="F15" s="52"/>
      <c r="G15" s="196"/>
      <c r="H15" s="177"/>
      <c r="I15" s="190"/>
    </row>
    <row r="16" spans="1:9" ht="13.8" thickBot="1" x14ac:dyDescent="0.3">
      <c r="A16" s="176"/>
      <c r="B16" s="52"/>
      <c r="C16" s="52"/>
      <c r="D16" s="197"/>
      <c r="E16" s="198">
        <f>SUM(E12:E15)</f>
        <v>0</v>
      </c>
      <c r="F16" s="93"/>
      <c r="G16" s="121"/>
      <c r="H16" s="177"/>
      <c r="I16" s="243">
        <f>+E16+G21</f>
        <v>0</v>
      </c>
    </row>
    <row r="17" spans="1:9" x14ac:dyDescent="0.25">
      <c r="A17" s="249" t="s">
        <v>167</v>
      </c>
      <c r="B17" s="52"/>
      <c r="C17" s="52"/>
      <c r="D17" s="197"/>
      <c r="E17" s="241"/>
      <c r="F17" s="93"/>
      <c r="G17" s="121"/>
      <c r="H17" s="177"/>
      <c r="I17" s="247" t="s">
        <v>168</v>
      </c>
    </row>
    <row r="18" spans="1:9" ht="13.8" thickBot="1" x14ac:dyDescent="0.3">
      <c r="A18" s="249" t="s">
        <v>166</v>
      </c>
      <c r="B18" s="52"/>
      <c r="C18" s="52"/>
      <c r="D18" s="197"/>
      <c r="E18" s="241"/>
      <c r="F18" s="93"/>
      <c r="G18" s="121"/>
      <c r="H18" s="177"/>
      <c r="I18" s="248" t="s">
        <v>168</v>
      </c>
    </row>
    <row r="19" spans="1:9" ht="13.8" thickBot="1" x14ac:dyDescent="0.3">
      <c r="A19" s="176"/>
      <c r="B19" s="52"/>
      <c r="C19" s="52"/>
      <c r="D19" s="197"/>
      <c r="E19" s="241"/>
      <c r="F19" s="93"/>
      <c r="G19" s="121"/>
      <c r="H19" s="177"/>
      <c r="I19" s="198">
        <f>SUM(I16:I18)</f>
        <v>0</v>
      </c>
    </row>
    <row r="20" spans="1:9" ht="13.8" thickBot="1" x14ac:dyDescent="0.3">
      <c r="A20" s="176"/>
      <c r="B20" s="52"/>
      <c r="C20" s="52"/>
      <c r="D20" s="52"/>
      <c r="E20" s="93"/>
      <c r="H20" s="177"/>
      <c r="I20" s="242"/>
    </row>
    <row r="21" spans="1:9" ht="13.8" thickBot="1" x14ac:dyDescent="0.3">
      <c r="A21" s="176" t="s">
        <v>164</v>
      </c>
      <c r="B21" s="52"/>
      <c r="C21" s="52"/>
      <c r="D21" s="52"/>
      <c r="E21" s="199"/>
      <c r="F21" s="177" t="s">
        <v>50</v>
      </c>
      <c r="G21" s="198">
        <f>SUM(G12:G16)</f>
        <v>0</v>
      </c>
      <c r="H21" s="177"/>
      <c r="I21" s="198">
        <f>+I9*I19</f>
        <v>0</v>
      </c>
    </row>
    <row r="22" spans="1:9" x14ac:dyDescent="0.25">
      <c r="A22" s="176"/>
      <c r="B22" s="52"/>
      <c r="C22" s="52"/>
      <c r="D22" s="52"/>
      <c r="E22" s="93"/>
      <c r="F22" s="93"/>
      <c r="G22" s="93"/>
      <c r="H22" s="177"/>
      <c r="I22" s="37"/>
    </row>
    <row r="23" spans="1:9" ht="13.8" x14ac:dyDescent="0.25">
      <c r="A23" s="191" t="s">
        <v>51</v>
      </c>
      <c r="B23" s="52"/>
      <c r="C23" s="52"/>
      <c r="D23" s="52"/>
      <c r="E23" s="93"/>
      <c r="F23" s="93"/>
      <c r="G23" s="93"/>
      <c r="H23" s="177"/>
      <c r="I23" s="37"/>
    </row>
    <row r="24" spans="1:9" x14ac:dyDescent="0.25">
      <c r="A24" s="200" t="s">
        <v>95</v>
      </c>
      <c r="B24" s="52"/>
      <c r="C24" s="52"/>
      <c r="D24" s="52"/>
      <c r="E24" s="93"/>
      <c r="F24" s="52"/>
      <c r="G24" s="52"/>
      <c r="H24" s="177"/>
      <c r="I24" s="37"/>
    </row>
    <row r="25" spans="1:9" x14ac:dyDescent="0.25">
      <c r="A25" s="176" t="s">
        <v>47</v>
      </c>
      <c r="B25" s="192">
        <f>+'Month 4'!O3</f>
        <v>40751</v>
      </c>
      <c r="C25" s="52"/>
      <c r="D25" s="52"/>
      <c r="E25" s="93"/>
      <c r="F25" s="195" t="s">
        <v>27</v>
      </c>
      <c r="G25" s="194">
        <f>+'Month 4'!O42</f>
        <v>0</v>
      </c>
      <c r="H25" s="177"/>
      <c r="I25" s="37"/>
    </row>
    <row r="26" spans="1:9" x14ac:dyDescent="0.25">
      <c r="A26" s="176" t="s">
        <v>48</v>
      </c>
      <c r="B26" s="192">
        <f>+'Month 5'!O3</f>
        <v>40782</v>
      </c>
      <c r="C26" s="52"/>
      <c r="D26" s="52"/>
      <c r="E26" s="93"/>
      <c r="F26" s="195" t="s">
        <v>27</v>
      </c>
      <c r="G26" s="194">
        <f>+'Month 5'!O42</f>
        <v>0</v>
      </c>
      <c r="H26" s="177"/>
      <c r="I26" s="37"/>
    </row>
    <row r="27" spans="1:9" x14ac:dyDescent="0.25">
      <c r="A27" s="176" t="s">
        <v>49</v>
      </c>
      <c r="B27" s="192">
        <f>+'Month 6'!O3</f>
        <v>40813</v>
      </c>
      <c r="C27" s="62"/>
      <c r="D27" s="52"/>
      <c r="E27" s="93"/>
      <c r="F27" s="195" t="s">
        <v>27</v>
      </c>
      <c r="G27" s="194">
        <f>+'Month 6'!O42</f>
        <v>0</v>
      </c>
      <c r="H27" s="177"/>
      <c r="I27" s="37"/>
    </row>
    <row r="28" spans="1:9" x14ac:dyDescent="0.25">
      <c r="A28" s="200" t="s">
        <v>25</v>
      </c>
      <c r="B28" s="201"/>
      <c r="C28" s="52"/>
      <c r="D28" s="52"/>
      <c r="E28" s="93"/>
      <c r="F28" s="195"/>
      <c r="G28" s="194"/>
      <c r="H28" s="177"/>
      <c r="I28" s="37"/>
    </row>
    <row r="29" spans="1:9" x14ac:dyDescent="0.25">
      <c r="A29" s="176" t="s">
        <v>47</v>
      </c>
      <c r="B29" s="192">
        <f>+'Month 4'!O3</f>
        <v>40751</v>
      </c>
      <c r="C29" s="52"/>
      <c r="D29" s="52"/>
      <c r="E29" s="93"/>
      <c r="F29" s="195" t="s">
        <v>41</v>
      </c>
      <c r="G29" s="194">
        <f>+'Month 4'!O88</f>
        <v>0</v>
      </c>
      <c r="H29" s="177"/>
      <c r="I29" s="37"/>
    </row>
    <row r="30" spans="1:9" x14ac:dyDescent="0.25">
      <c r="A30" s="176" t="s">
        <v>48</v>
      </c>
      <c r="B30" s="192">
        <f>+'Month 5'!O3</f>
        <v>40782</v>
      </c>
      <c r="C30" s="52"/>
      <c r="D30" s="52"/>
      <c r="E30" s="93"/>
      <c r="F30" s="195" t="s">
        <v>41</v>
      </c>
      <c r="G30" s="194">
        <f>+'Month 5'!O88</f>
        <v>0</v>
      </c>
      <c r="H30" s="177"/>
      <c r="I30" s="37"/>
    </row>
    <row r="31" spans="1:9" x14ac:dyDescent="0.25">
      <c r="A31" s="176" t="s">
        <v>49</v>
      </c>
      <c r="B31" s="192">
        <f>+'Month 6'!O3</f>
        <v>40813</v>
      </c>
      <c r="C31" s="62"/>
      <c r="D31" s="52"/>
      <c r="E31" s="93"/>
      <c r="F31" s="195" t="s">
        <v>41</v>
      </c>
      <c r="G31" s="194">
        <f>+'Month 6'!O88</f>
        <v>0</v>
      </c>
      <c r="H31" s="177"/>
      <c r="I31" s="37"/>
    </row>
    <row r="32" spans="1:9" x14ac:dyDescent="0.25">
      <c r="A32" s="176"/>
      <c r="B32" s="52"/>
      <c r="C32" s="52"/>
      <c r="D32" s="52"/>
      <c r="E32" s="93"/>
      <c r="F32" s="93"/>
      <c r="G32" s="202"/>
      <c r="H32" s="177"/>
      <c r="I32" s="37"/>
    </row>
    <row r="33" spans="1:9" ht="13.8" thickBot="1" x14ac:dyDescent="0.3">
      <c r="A33" s="176"/>
      <c r="B33" s="52"/>
      <c r="C33" s="52"/>
      <c r="D33" s="52"/>
      <c r="E33" s="93"/>
      <c r="F33" s="93"/>
      <c r="G33" s="98"/>
      <c r="H33" s="177"/>
      <c r="I33" s="37"/>
    </row>
    <row r="34" spans="1:9" ht="13.8" thickBot="1" x14ac:dyDescent="0.3">
      <c r="A34" s="176" t="s">
        <v>165</v>
      </c>
      <c r="B34" s="52"/>
      <c r="C34" s="52"/>
      <c r="D34" s="52"/>
      <c r="E34" s="199"/>
      <c r="F34" s="177" t="s">
        <v>52</v>
      </c>
      <c r="G34" s="198">
        <f>SUM(G25:G33)</f>
        <v>0</v>
      </c>
      <c r="H34" s="177"/>
      <c r="I34" s="37"/>
    </row>
    <row r="35" spans="1:9" ht="13.8" thickBot="1" x14ac:dyDescent="0.3">
      <c r="A35" s="176"/>
      <c r="B35" s="52"/>
      <c r="C35" s="52"/>
      <c r="D35" s="52"/>
      <c r="E35" s="118"/>
      <c r="F35" s="118"/>
      <c r="G35" s="121"/>
      <c r="H35" s="177"/>
      <c r="I35" s="37"/>
    </row>
    <row r="36" spans="1:9" ht="14.4" thickBot="1" x14ac:dyDescent="0.3">
      <c r="A36" s="203" t="s">
        <v>53</v>
      </c>
      <c r="E36" s="125" t="s">
        <v>54</v>
      </c>
      <c r="F36" s="118"/>
      <c r="G36" s="198">
        <f>SUM(G21-G34)</f>
        <v>0</v>
      </c>
      <c r="H36" s="177"/>
      <c r="I36" s="37"/>
    </row>
    <row r="37" spans="1:9" ht="13.8" thickBot="1" x14ac:dyDescent="0.3">
      <c r="A37" s="204"/>
      <c r="B37" s="205"/>
      <c r="C37" s="205"/>
      <c r="D37" s="205"/>
      <c r="E37" s="72"/>
      <c r="F37" s="72"/>
      <c r="G37" s="72"/>
      <c r="H37" s="206"/>
      <c r="I37" s="207"/>
    </row>
    <row r="39" spans="1:9" ht="13.8" thickBot="1" x14ac:dyDescent="0.3"/>
    <row r="40" spans="1:9" ht="18" thickBot="1" x14ac:dyDescent="0.3">
      <c r="A40" s="172" t="s">
        <v>90</v>
      </c>
    </row>
    <row r="41" spans="1:9" x14ac:dyDescent="0.25">
      <c r="G41" s="208" t="s">
        <v>111</v>
      </c>
      <c r="H41" s="19"/>
      <c r="I41" s="183" t="s">
        <v>43</v>
      </c>
    </row>
    <row r="42" spans="1:9" ht="13.8" thickBot="1" x14ac:dyDescent="0.3">
      <c r="G42" s="209" t="s">
        <v>112</v>
      </c>
      <c r="H42" s="19"/>
      <c r="I42" s="184" t="s">
        <v>44</v>
      </c>
    </row>
    <row r="43" spans="1:9" ht="14.25" customHeight="1" thickBot="1" x14ac:dyDescent="0.3">
      <c r="A43" s="210" t="s">
        <v>92</v>
      </c>
      <c r="B43" s="211"/>
      <c r="C43" s="211"/>
      <c r="D43" s="212"/>
      <c r="E43" s="15">
        <v>1</v>
      </c>
      <c r="F43" s="16"/>
      <c r="G43" s="55">
        <f>+G21</f>
        <v>0</v>
      </c>
      <c r="H43" s="17"/>
      <c r="I43" s="56">
        <f>I21</f>
        <v>0</v>
      </c>
    </row>
    <row r="44" spans="1:9" ht="5.0999999999999996" customHeight="1" thickBot="1" x14ac:dyDescent="0.3">
      <c r="A44" s="213"/>
      <c r="B44" s="214"/>
      <c r="C44" s="214"/>
      <c r="D44" s="52"/>
      <c r="E44" s="18"/>
      <c r="G44" s="20"/>
      <c r="H44" s="21"/>
      <c r="I44" s="22"/>
    </row>
    <row r="45" spans="1:9" ht="13.5" customHeight="1" x14ac:dyDescent="0.25">
      <c r="A45" s="215" t="s">
        <v>97</v>
      </c>
      <c r="B45" s="216"/>
      <c r="C45" s="216"/>
      <c r="D45" s="217"/>
      <c r="E45" s="309">
        <v>2</v>
      </c>
      <c r="F45" s="23"/>
      <c r="G45" s="319" t="s">
        <v>118</v>
      </c>
      <c r="H45" s="24"/>
      <c r="I45" s="321" t="s">
        <v>118</v>
      </c>
    </row>
    <row r="46" spans="1:9" ht="13.8" thickBot="1" x14ac:dyDescent="0.3">
      <c r="A46" s="218" t="s">
        <v>98</v>
      </c>
      <c r="B46" s="219"/>
      <c r="C46" s="219"/>
      <c r="D46" s="220"/>
      <c r="E46" s="310"/>
      <c r="F46" s="25"/>
      <c r="G46" s="320"/>
      <c r="H46" s="26"/>
      <c r="I46" s="322"/>
    </row>
    <row r="47" spans="1:9" ht="5.0999999999999996" customHeight="1" thickBot="1" x14ac:dyDescent="0.3">
      <c r="A47" s="213"/>
      <c r="B47" s="214"/>
      <c r="C47" s="214"/>
      <c r="D47" s="52"/>
      <c r="E47" s="18"/>
      <c r="G47" s="20"/>
      <c r="H47" s="21"/>
      <c r="I47" s="22"/>
    </row>
    <row r="48" spans="1:9" ht="14.25" customHeight="1" thickBot="1" x14ac:dyDescent="0.3">
      <c r="A48" s="210" t="s">
        <v>94</v>
      </c>
      <c r="B48" s="211"/>
      <c r="C48" s="211"/>
      <c r="D48" s="212"/>
      <c r="E48" s="15">
        <v>3</v>
      </c>
      <c r="F48" s="16"/>
      <c r="G48" s="55">
        <f>SUM(G43:G45)</f>
        <v>0</v>
      </c>
      <c r="H48" s="17"/>
      <c r="I48" s="56">
        <f>SUM(I43:I45)</f>
        <v>0</v>
      </c>
    </row>
    <row r="49" spans="1:9" ht="5.0999999999999996" customHeight="1" thickBot="1" x14ac:dyDescent="0.3">
      <c r="A49" s="221"/>
      <c r="B49" s="214"/>
      <c r="C49" s="214"/>
      <c r="D49" s="52"/>
      <c r="E49" s="18"/>
      <c r="G49" s="20"/>
      <c r="H49" s="21"/>
      <c r="I49" s="22"/>
    </row>
    <row r="50" spans="1:9" ht="13.5" customHeight="1" x14ac:dyDescent="0.25">
      <c r="A50" s="215" t="s">
        <v>99</v>
      </c>
      <c r="B50" s="216"/>
      <c r="C50" s="216"/>
      <c r="D50" s="217"/>
      <c r="E50" s="309">
        <v>4</v>
      </c>
      <c r="F50" s="23"/>
      <c r="G50" s="317">
        <f>G34</f>
        <v>0</v>
      </c>
      <c r="H50" s="24"/>
      <c r="I50" s="321">
        <v>0</v>
      </c>
    </row>
    <row r="51" spans="1:9" ht="13.5" customHeight="1" thickBot="1" x14ac:dyDescent="0.3">
      <c r="A51" s="218" t="s">
        <v>100</v>
      </c>
      <c r="B51" s="219"/>
      <c r="C51" s="219"/>
      <c r="D51" s="220"/>
      <c r="E51" s="310"/>
      <c r="F51" s="25"/>
      <c r="G51" s="318"/>
      <c r="H51" s="26"/>
      <c r="I51" s="322"/>
    </row>
    <row r="52" spans="1:9" ht="5.0999999999999996" customHeight="1" thickBot="1" x14ac:dyDescent="0.3">
      <c r="A52" s="213"/>
      <c r="B52" s="214"/>
      <c r="C52" s="214"/>
      <c r="D52" s="52"/>
      <c r="E52" s="18"/>
      <c r="G52" s="20"/>
      <c r="H52" s="21"/>
      <c r="I52" s="22"/>
    </row>
    <row r="53" spans="1:9" ht="13.5" customHeight="1" x14ac:dyDescent="0.25">
      <c r="A53" s="222" t="s">
        <v>101</v>
      </c>
      <c r="B53" s="223"/>
      <c r="C53" s="224"/>
      <c r="D53" s="224"/>
      <c r="E53" s="311">
        <v>5</v>
      </c>
      <c r="F53" s="27"/>
      <c r="G53" s="317">
        <f>+G48-G50</f>
        <v>0</v>
      </c>
      <c r="H53" s="24"/>
      <c r="I53" s="321">
        <f>+I48-I50</f>
        <v>0</v>
      </c>
    </row>
    <row r="54" spans="1:9" ht="13.8" thickBot="1" x14ac:dyDescent="0.3">
      <c r="A54" s="225" t="s">
        <v>102</v>
      </c>
      <c r="B54" s="226"/>
      <c r="C54" s="227"/>
      <c r="D54" s="227"/>
      <c r="E54" s="312"/>
      <c r="F54" s="28"/>
      <c r="G54" s="318"/>
      <c r="H54" s="26"/>
      <c r="I54" s="322"/>
    </row>
    <row r="55" spans="1:9" ht="5.0999999999999996" customHeight="1" thickBot="1" x14ac:dyDescent="0.3">
      <c r="A55" s="52"/>
      <c r="B55" s="52"/>
      <c r="C55" s="52"/>
      <c r="D55" s="52"/>
      <c r="E55" s="29"/>
      <c r="G55" s="30"/>
      <c r="H55" s="19"/>
      <c r="I55" s="31"/>
    </row>
    <row r="56" spans="1:9" ht="13.5" customHeight="1" x14ac:dyDescent="0.25">
      <c r="A56" s="215" t="s">
        <v>103</v>
      </c>
      <c r="B56" s="228"/>
      <c r="C56" s="228"/>
      <c r="D56" s="217"/>
      <c r="E56" s="309">
        <v>6</v>
      </c>
      <c r="F56" s="23"/>
      <c r="G56" s="325">
        <f>+E16</f>
        <v>0</v>
      </c>
      <c r="H56" s="32"/>
      <c r="I56" s="315">
        <f>+I19</f>
        <v>0</v>
      </c>
    </row>
    <row r="57" spans="1:9" ht="13.8" thickBot="1" x14ac:dyDescent="0.3">
      <c r="A57" s="218" t="s">
        <v>104</v>
      </c>
      <c r="B57" s="229"/>
      <c r="C57" s="229"/>
      <c r="D57" s="220"/>
      <c r="E57" s="310"/>
      <c r="F57" s="25"/>
      <c r="G57" s="326"/>
      <c r="H57" s="33"/>
      <c r="I57" s="316"/>
    </row>
    <row r="58" spans="1:9" ht="5.0999999999999996" customHeight="1" thickBot="1" x14ac:dyDescent="0.3">
      <c r="A58" s="213"/>
      <c r="B58" s="230"/>
      <c r="C58" s="230"/>
      <c r="D58" s="52"/>
      <c r="E58" s="18"/>
      <c r="G58" s="34"/>
      <c r="H58" s="35"/>
      <c r="I58" s="36"/>
    </row>
    <row r="59" spans="1:9" ht="13.5" customHeight="1" x14ac:dyDescent="0.25">
      <c r="A59" s="215" t="s">
        <v>105</v>
      </c>
      <c r="B59" s="228"/>
      <c r="C59" s="228"/>
      <c r="D59" s="217"/>
      <c r="E59" s="309">
        <v>7</v>
      </c>
      <c r="F59" s="23"/>
      <c r="G59" s="325">
        <f>SUM(G50/20%)</f>
        <v>0</v>
      </c>
      <c r="H59" s="32"/>
      <c r="I59" s="315">
        <f>SUM(I50/20%)</f>
        <v>0</v>
      </c>
    </row>
    <row r="60" spans="1:9" ht="13.8" thickBot="1" x14ac:dyDescent="0.3">
      <c r="A60" s="218" t="s">
        <v>119</v>
      </c>
      <c r="B60" s="229"/>
      <c r="C60" s="229"/>
      <c r="D60" s="220"/>
      <c r="E60" s="310"/>
      <c r="F60" s="37"/>
      <c r="G60" s="326"/>
      <c r="H60" s="33"/>
      <c r="I60" s="316"/>
    </row>
    <row r="61" spans="1:9" ht="5.0999999999999996" customHeight="1" thickBot="1" x14ac:dyDescent="0.3">
      <c r="A61" s="213"/>
      <c r="B61" s="230"/>
      <c r="C61" s="230"/>
      <c r="D61" s="52"/>
      <c r="E61" s="18"/>
      <c r="F61" s="28"/>
      <c r="G61" s="34"/>
      <c r="H61" s="35"/>
      <c r="I61" s="36"/>
    </row>
    <row r="62" spans="1:9" ht="13.5" customHeight="1" x14ac:dyDescent="0.25">
      <c r="A62" s="215" t="s">
        <v>108</v>
      </c>
      <c r="B62" s="228"/>
      <c r="C62" s="228"/>
      <c r="D62" s="217"/>
      <c r="E62" s="309">
        <v>8</v>
      </c>
      <c r="F62" s="23"/>
      <c r="G62" s="313" t="s">
        <v>118</v>
      </c>
      <c r="H62" s="32"/>
      <c r="I62" s="315" t="s">
        <v>118</v>
      </c>
    </row>
    <row r="63" spans="1:9" ht="13.8" thickBot="1" x14ac:dyDescent="0.3">
      <c r="A63" s="218" t="s">
        <v>107</v>
      </c>
      <c r="B63" s="229"/>
      <c r="C63" s="229"/>
      <c r="D63" s="220"/>
      <c r="E63" s="310"/>
      <c r="F63" s="25"/>
      <c r="G63" s="314"/>
      <c r="H63" s="33"/>
      <c r="I63" s="316"/>
    </row>
    <row r="64" spans="1:9" ht="5.0999999999999996" customHeight="1" thickBot="1" x14ac:dyDescent="0.3">
      <c r="A64" s="213"/>
      <c r="B64" s="230"/>
      <c r="C64" s="230"/>
      <c r="D64" s="52"/>
      <c r="E64" s="18"/>
      <c r="G64" s="34"/>
      <c r="H64" s="35"/>
      <c r="I64" s="36"/>
    </row>
    <row r="65" spans="1:9" ht="13.5" customHeight="1" x14ac:dyDescent="0.25">
      <c r="A65" s="215" t="s">
        <v>109</v>
      </c>
      <c r="B65" s="228"/>
      <c r="C65" s="228"/>
      <c r="D65" s="217"/>
      <c r="E65" s="309">
        <v>9</v>
      </c>
      <c r="F65" s="23"/>
      <c r="G65" s="325" t="s">
        <v>118</v>
      </c>
      <c r="H65" s="32"/>
      <c r="I65" s="315" t="s">
        <v>118</v>
      </c>
    </row>
    <row r="66" spans="1:9" ht="13.8" thickBot="1" x14ac:dyDescent="0.3">
      <c r="A66" s="231" t="s">
        <v>106</v>
      </c>
      <c r="B66" s="229"/>
      <c r="C66" s="229"/>
      <c r="D66" s="220"/>
      <c r="E66" s="310"/>
      <c r="F66" s="25"/>
      <c r="G66" s="327"/>
      <c r="H66" s="38"/>
      <c r="I66" s="324"/>
    </row>
  </sheetData>
  <customSheetViews>
    <customSheetView guid="{93A5533C-1BF0-4CFD-B527-DBAD1AD08F71}" fitToPage="1" showRuler="0">
      <pageMargins left="0.59055118110236227" right="0.15748031496062992" top="0.59055118110236227" bottom="0.59055118110236227" header="0.31496062992125984" footer="0.31496062992125984"/>
      <printOptions horizontalCentered="1"/>
      <pageSetup paperSize="9" scale="93" orientation="portrait" r:id="rId1"/>
      <headerFooter alignWithMargins="0">
        <oddHeader>&amp;C&amp;A</oddHeader>
        <oddFooter>&amp;L&amp;8&amp;F&amp;C&amp;8Page &amp;P&amp;R&amp;8&amp;D</oddFooter>
      </headerFooter>
    </customSheetView>
  </customSheetViews>
  <mergeCells count="21">
    <mergeCell ref="G65:G66"/>
    <mergeCell ref="I65:I66"/>
    <mergeCell ref="I59:I60"/>
    <mergeCell ref="G62:G63"/>
    <mergeCell ref="G59:G60"/>
    <mergeCell ref="I62:I63"/>
    <mergeCell ref="G56:G57"/>
    <mergeCell ref="I56:I57"/>
    <mergeCell ref="G53:G54"/>
    <mergeCell ref="G45:G46"/>
    <mergeCell ref="I50:I51"/>
    <mergeCell ref="I53:I54"/>
    <mergeCell ref="I45:I46"/>
    <mergeCell ref="G50:G51"/>
    <mergeCell ref="E59:E60"/>
    <mergeCell ref="E62:E63"/>
    <mergeCell ref="E65:E66"/>
    <mergeCell ref="E45:E46"/>
    <mergeCell ref="E50:E51"/>
    <mergeCell ref="E53:E54"/>
    <mergeCell ref="E56:E57"/>
  </mergeCells>
  <phoneticPr fontId="0" type="noConversion"/>
  <printOptions horizontalCentered="1"/>
  <pageMargins left="0.59055118110236227" right="0.15748031496062992" top="0.59055118110236227" bottom="0.59055118110236227" header="0.31496062992125984" footer="0.31496062992125984"/>
  <pageSetup paperSize="9" scale="93" orientation="portrait" r:id="rId2"/>
  <headerFooter alignWithMargins="0">
    <oddHeader>&amp;CVAT Summary - &amp;A</oddHeader>
    <oddFooter>&amp;L&amp;8&amp;Z&amp;F\&amp;A&amp;C&amp;8Page &amp;P&amp;R&amp;8&amp;D  &amp;T</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pageSetUpPr fitToPage="1"/>
  </sheetPr>
  <dimension ref="A1:I66"/>
  <sheetViews>
    <sheetView workbookViewId="0">
      <selection activeCell="I9" sqref="I9"/>
    </sheetView>
  </sheetViews>
  <sheetFormatPr defaultColWidth="9.109375" defaultRowHeight="13.2" x14ac:dyDescent="0.25"/>
  <cols>
    <col min="1" max="1" width="22.5546875" style="19" bestFit="1" customWidth="1"/>
    <col min="2" max="2" width="7.88671875" style="19" customWidth="1"/>
    <col min="3" max="3" width="3.5546875" style="19" bestFit="1" customWidth="1"/>
    <col min="4" max="4" width="14.88671875" style="19" customWidth="1"/>
    <col min="5" max="5" width="11.33203125" style="19" customWidth="1"/>
    <col min="6" max="6" width="2.44140625" style="19" bestFit="1" customWidth="1"/>
    <col min="7" max="7" width="9.109375" style="19"/>
    <col min="8" max="8" width="3" style="29" customWidth="1"/>
    <col min="9" max="9" width="11.33203125" style="19" customWidth="1"/>
    <col min="10" max="16384" width="9.109375" style="19"/>
  </cols>
  <sheetData>
    <row r="1" spans="1:9" ht="16.2" thickBot="1" x14ac:dyDescent="0.3">
      <c r="A1" s="169" t="str">
        <f>'Company Info'!B5</f>
        <v>ABC Limited</v>
      </c>
      <c r="B1" s="170"/>
      <c r="C1" s="170"/>
      <c r="D1" s="171"/>
    </row>
    <row r="2" spans="1:9" ht="13.8" thickBot="1" x14ac:dyDescent="0.3"/>
    <row r="3" spans="1:9" ht="18" thickBot="1" x14ac:dyDescent="0.3">
      <c r="A3" s="172" t="s">
        <v>89</v>
      </c>
      <c r="B3" s="173"/>
      <c r="C3" s="173"/>
      <c r="D3" s="173"/>
      <c r="E3" s="173"/>
      <c r="F3" s="173"/>
      <c r="G3" s="173"/>
      <c r="H3" s="174"/>
      <c r="I3" s="175"/>
    </row>
    <row r="4" spans="1:9" ht="12.75" customHeight="1" x14ac:dyDescent="0.25">
      <c r="A4" s="244"/>
      <c r="B4" s="52"/>
      <c r="C4" s="52"/>
      <c r="D4" s="52"/>
      <c r="E4" s="52"/>
      <c r="F4" s="52"/>
      <c r="G4" s="52"/>
      <c r="H4" s="177"/>
      <c r="I4" s="37"/>
    </row>
    <row r="5" spans="1:9" ht="13.8" x14ac:dyDescent="0.25">
      <c r="A5" s="178" t="s">
        <v>42</v>
      </c>
      <c r="B5" s="179">
        <f>'Month 7'!O3</f>
        <v>40844</v>
      </c>
      <c r="C5" s="180" t="s">
        <v>110</v>
      </c>
      <c r="D5" s="181">
        <f>'Month 9'!O3</f>
        <v>40906</v>
      </c>
      <c r="E5" s="182"/>
      <c r="F5" s="52"/>
      <c r="G5" s="52"/>
      <c r="H5" s="177"/>
      <c r="I5" s="37"/>
    </row>
    <row r="6" spans="1:9" ht="14.4" thickBot="1" x14ac:dyDescent="0.3">
      <c r="A6" s="178"/>
      <c r="B6" s="179"/>
      <c r="C6" s="180"/>
      <c r="D6" s="181"/>
      <c r="E6" s="182"/>
      <c r="F6" s="52"/>
      <c r="G6" s="52"/>
      <c r="H6" s="177"/>
      <c r="I6" s="37"/>
    </row>
    <row r="7" spans="1:9" x14ac:dyDescent="0.25">
      <c r="A7" s="176"/>
      <c r="B7" s="52"/>
      <c r="C7" s="52"/>
      <c r="D7" s="52"/>
      <c r="E7" s="52"/>
      <c r="F7" s="52"/>
      <c r="G7" s="52"/>
      <c r="H7" s="177"/>
      <c r="I7" s="183" t="s">
        <v>43</v>
      </c>
    </row>
    <row r="8" spans="1:9" x14ac:dyDescent="0.25">
      <c r="A8" s="176"/>
      <c r="B8" s="52"/>
      <c r="C8" s="52"/>
      <c r="D8" s="52"/>
      <c r="E8" s="52"/>
      <c r="F8" s="52"/>
      <c r="G8" s="52"/>
      <c r="H8" s="177"/>
      <c r="I8" s="184" t="s">
        <v>44</v>
      </c>
    </row>
    <row r="9" spans="1:9" x14ac:dyDescent="0.25">
      <c r="A9" s="176"/>
      <c r="B9" s="52"/>
      <c r="C9" s="52"/>
      <c r="D9" s="52"/>
      <c r="E9" s="52"/>
      <c r="F9" s="52"/>
      <c r="G9" s="185"/>
      <c r="H9" s="186"/>
      <c r="I9" s="187">
        <f>+'VAT 2nd Qtr'!I9</f>
        <v>0.13500000000000001</v>
      </c>
    </row>
    <row r="10" spans="1:9" x14ac:dyDescent="0.25">
      <c r="A10" s="176"/>
      <c r="B10" s="52"/>
      <c r="C10" s="52"/>
      <c r="D10" s="52"/>
      <c r="E10" s="188" t="s">
        <v>45</v>
      </c>
      <c r="F10" s="125"/>
      <c r="G10" s="189" t="s">
        <v>15</v>
      </c>
      <c r="H10" s="177"/>
      <c r="I10" s="190"/>
    </row>
    <row r="11" spans="1:9" ht="13.8" x14ac:dyDescent="0.25">
      <c r="A11" s="191" t="s">
        <v>46</v>
      </c>
      <c r="B11" s="52"/>
      <c r="C11" s="52"/>
      <c r="D11" s="52"/>
      <c r="E11" s="52"/>
      <c r="F11" s="52"/>
      <c r="G11" s="52"/>
      <c r="H11" s="177"/>
      <c r="I11" s="190"/>
    </row>
    <row r="12" spans="1:9" x14ac:dyDescent="0.25">
      <c r="A12" s="176" t="s">
        <v>47</v>
      </c>
      <c r="B12" s="192">
        <f>+'Month 7'!O3</f>
        <v>40844</v>
      </c>
      <c r="C12" s="52"/>
      <c r="D12" s="193" t="s">
        <v>19</v>
      </c>
      <c r="E12" s="194">
        <f>+'Month 7'!E19+'Month 7'!F19</f>
        <v>0</v>
      </c>
      <c r="F12" s="195" t="s">
        <v>20</v>
      </c>
      <c r="G12" s="194">
        <f>+'Month 7'!G19</f>
        <v>0</v>
      </c>
      <c r="H12" s="177"/>
      <c r="I12" s="190"/>
    </row>
    <row r="13" spans="1:9" x14ac:dyDescent="0.25">
      <c r="A13" s="176" t="s">
        <v>48</v>
      </c>
      <c r="B13" s="192">
        <f>+'Month 8'!O3</f>
        <v>40875</v>
      </c>
      <c r="C13" s="52"/>
      <c r="D13" s="193" t="s">
        <v>19</v>
      </c>
      <c r="E13" s="194">
        <f>+'Month 8'!E19+'Month 8'!F19</f>
        <v>0</v>
      </c>
      <c r="F13" s="195" t="s">
        <v>20</v>
      </c>
      <c r="G13" s="194">
        <f>+'Month 8'!G19</f>
        <v>0</v>
      </c>
      <c r="H13" s="177"/>
      <c r="I13" s="190"/>
    </row>
    <row r="14" spans="1:9" x14ac:dyDescent="0.25">
      <c r="A14" s="176" t="s">
        <v>49</v>
      </c>
      <c r="B14" s="192">
        <f>+'Month 9'!O3</f>
        <v>40906</v>
      </c>
      <c r="C14" s="52"/>
      <c r="D14" s="193" t="s">
        <v>19</v>
      </c>
      <c r="E14" s="194">
        <f>+'Month 9'!E19+'Month 9'!F19</f>
        <v>0</v>
      </c>
      <c r="F14" s="195" t="s">
        <v>20</v>
      </c>
      <c r="G14" s="194">
        <f>+'Month 9'!G19</f>
        <v>0</v>
      </c>
      <c r="H14" s="177"/>
      <c r="I14" s="190"/>
    </row>
    <row r="15" spans="1:9" ht="13.8" thickBot="1" x14ac:dyDescent="0.3">
      <c r="A15" s="176" t="s">
        <v>125</v>
      </c>
      <c r="B15" s="52"/>
      <c r="C15" s="52"/>
      <c r="D15" s="52"/>
      <c r="E15" s="196"/>
      <c r="F15" s="52"/>
      <c r="G15" s="196"/>
      <c r="H15" s="177"/>
      <c r="I15" s="190"/>
    </row>
    <row r="16" spans="1:9" ht="13.8" thickBot="1" x14ac:dyDescent="0.3">
      <c r="A16" s="176"/>
      <c r="B16" s="52"/>
      <c r="C16" s="52"/>
      <c r="D16" s="197"/>
      <c r="E16" s="198">
        <f>SUM(E12:E15)</f>
        <v>0</v>
      </c>
      <c r="F16" s="93"/>
      <c r="G16" s="121"/>
      <c r="H16" s="177"/>
      <c r="I16" s="243">
        <f>+E16+G21</f>
        <v>0</v>
      </c>
    </row>
    <row r="17" spans="1:9" x14ac:dyDescent="0.25">
      <c r="A17" s="249" t="s">
        <v>167</v>
      </c>
      <c r="B17" s="52"/>
      <c r="C17" s="52"/>
      <c r="D17" s="197"/>
      <c r="E17" s="241"/>
      <c r="F17" s="93"/>
      <c r="G17" s="121"/>
      <c r="H17" s="177"/>
      <c r="I17" s="247" t="s">
        <v>168</v>
      </c>
    </row>
    <row r="18" spans="1:9" ht="13.8" thickBot="1" x14ac:dyDescent="0.3">
      <c r="A18" s="249" t="s">
        <v>166</v>
      </c>
      <c r="B18" s="52"/>
      <c r="C18" s="52"/>
      <c r="D18" s="197"/>
      <c r="E18" s="241"/>
      <c r="F18" s="93"/>
      <c r="G18" s="121"/>
      <c r="H18" s="177"/>
      <c r="I18" s="248" t="s">
        <v>168</v>
      </c>
    </row>
    <row r="19" spans="1:9" ht="13.8" thickBot="1" x14ac:dyDescent="0.3">
      <c r="A19" s="176"/>
      <c r="B19" s="52"/>
      <c r="C19" s="52"/>
      <c r="D19" s="197"/>
      <c r="E19" s="241"/>
      <c r="F19" s="93"/>
      <c r="G19" s="121"/>
      <c r="H19" s="177"/>
      <c r="I19" s="198">
        <f>SUM(I16:I18)</f>
        <v>0</v>
      </c>
    </row>
    <row r="20" spans="1:9" ht="13.8" thickBot="1" x14ac:dyDescent="0.3">
      <c r="A20" s="176"/>
      <c r="B20" s="52"/>
      <c r="C20" s="52"/>
      <c r="D20" s="52"/>
      <c r="E20" s="93"/>
      <c r="H20" s="177"/>
      <c r="I20" s="242"/>
    </row>
    <row r="21" spans="1:9" ht="13.8" thickBot="1" x14ac:dyDescent="0.3">
      <c r="A21" s="176" t="s">
        <v>164</v>
      </c>
      <c r="B21" s="52"/>
      <c r="C21" s="52"/>
      <c r="D21" s="52"/>
      <c r="E21" s="199"/>
      <c r="F21" s="177" t="s">
        <v>50</v>
      </c>
      <c r="G21" s="198">
        <f>SUM(G12:G16)</f>
        <v>0</v>
      </c>
      <c r="H21" s="177"/>
      <c r="I21" s="198">
        <f>+I9*I19</f>
        <v>0</v>
      </c>
    </row>
    <row r="22" spans="1:9" x14ac:dyDescent="0.25">
      <c r="A22" s="176"/>
      <c r="B22" s="52"/>
      <c r="C22" s="52"/>
      <c r="D22" s="52"/>
      <c r="E22" s="93"/>
      <c r="F22" s="93"/>
      <c r="G22" s="93"/>
      <c r="H22" s="177"/>
      <c r="I22" s="37"/>
    </row>
    <row r="23" spans="1:9" ht="13.8" x14ac:dyDescent="0.25">
      <c r="A23" s="191" t="s">
        <v>51</v>
      </c>
      <c r="B23" s="52"/>
      <c r="C23" s="52"/>
      <c r="D23" s="52"/>
      <c r="E23" s="93"/>
      <c r="F23" s="93"/>
      <c r="G23" s="93"/>
      <c r="H23" s="177"/>
      <c r="I23" s="37"/>
    </row>
    <row r="24" spans="1:9" x14ac:dyDescent="0.25">
      <c r="A24" s="200" t="s">
        <v>95</v>
      </c>
      <c r="B24" s="52"/>
      <c r="C24" s="52"/>
      <c r="D24" s="52"/>
      <c r="E24" s="93"/>
      <c r="F24" s="52"/>
      <c r="G24" s="52"/>
      <c r="H24" s="177"/>
      <c r="I24" s="37"/>
    </row>
    <row r="25" spans="1:9" x14ac:dyDescent="0.25">
      <c r="A25" s="176" t="s">
        <v>47</v>
      </c>
      <c r="B25" s="192">
        <f>+'Month 7'!O3</f>
        <v>40844</v>
      </c>
      <c r="C25" s="52"/>
      <c r="D25" s="52"/>
      <c r="E25" s="93"/>
      <c r="F25" s="195" t="s">
        <v>27</v>
      </c>
      <c r="G25" s="194">
        <f>+'Month 7'!O42</f>
        <v>0</v>
      </c>
      <c r="H25" s="177"/>
      <c r="I25" s="37"/>
    </row>
    <row r="26" spans="1:9" x14ac:dyDescent="0.25">
      <c r="A26" s="176" t="s">
        <v>48</v>
      </c>
      <c r="B26" s="192">
        <f>+'Month 8'!O3</f>
        <v>40875</v>
      </c>
      <c r="C26" s="52"/>
      <c r="D26" s="52"/>
      <c r="E26" s="93"/>
      <c r="F26" s="195" t="s">
        <v>27</v>
      </c>
      <c r="G26" s="194">
        <f>+'Month 8'!O42</f>
        <v>0</v>
      </c>
      <c r="H26" s="177"/>
      <c r="I26" s="37"/>
    </row>
    <row r="27" spans="1:9" x14ac:dyDescent="0.25">
      <c r="A27" s="176" t="s">
        <v>49</v>
      </c>
      <c r="B27" s="192">
        <f>+'Month 9'!O3</f>
        <v>40906</v>
      </c>
      <c r="C27" s="62"/>
      <c r="D27" s="52"/>
      <c r="E27" s="93"/>
      <c r="F27" s="195" t="s">
        <v>27</v>
      </c>
      <c r="G27" s="194">
        <f>+'Month 9'!O42</f>
        <v>0</v>
      </c>
      <c r="H27" s="177"/>
      <c r="I27" s="37"/>
    </row>
    <row r="28" spans="1:9" x14ac:dyDescent="0.25">
      <c r="A28" s="200" t="s">
        <v>25</v>
      </c>
      <c r="B28" s="201"/>
      <c r="C28" s="52"/>
      <c r="D28" s="52"/>
      <c r="E28" s="93"/>
      <c r="F28" s="195"/>
      <c r="G28" s="194"/>
      <c r="H28" s="177"/>
      <c r="I28" s="37"/>
    </row>
    <row r="29" spans="1:9" x14ac:dyDescent="0.25">
      <c r="A29" s="176" t="s">
        <v>47</v>
      </c>
      <c r="B29" s="192">
        <f>+'Month 7'!O3</f>
        <v>40844</v>
      </c>
      <c r="C29" s="52"/>
      <c r="D29" s="52"/>
      <c r="E29" s="93"/>
      <c r="F29" s="195" t="s">
        <v>41</v>
      </c>
      <c r="G29" s="194">
        <f>+'Month 7'!O88</f>
        <v>0</v>
      </c>
      <c r="H29" s="177"/>
      <c r="I29" s="37"/>
    </row>
    <row r="30" spans="1:9" x14ac:dyDescent="0.25">
      <c r="A30" s="176" t="s">
        <v>48</v>
      </c>
      <c r="B30" s="192">
        <f>+'Month 8'!O3</f>
        <v>40875</v>
      </c>
      <c r="C30" s="52"/>
      <c r="D30" s="52"/>
      <c r="E30" s="93"/>
      <c r="F30" s="195" t="s">
        <v>41</v>
      </c>
      <c r="G30" s="194">
        <f>+'Month 8'!O88</f>
        <v>0</v>
      </c>
      <c r="H30" s="177"/>
      <c r="I30" s="37"/>
    </row>
    <row r="31" spans="1:9" x14ac:dyDescent="0.25">
      <c r="A31" s="176" t="s">
        <v>49</v>
      </c>
      <c r="B31" s="192">
        <f>+'Month 9'!O3</f>
        <v>40906</v>
      </c>
      <c r="C31" s="62"/>
      <c r="D31" s="52"/>
      <c r="E31" s="93"/>
      <c r="F31" s="195" t="s">
        <v>41</v>
      </c>
      <c r="G31" s="194">
        <f>+'Month 9'!O88</f>
        <v>0</v>
      </c>
      <c r="H31" s="177"/>
      <c r="I31" s="37"/>
    </row>
    <row r="32" spans="1:9" x14ac:dyDescent="0.25">
      <c r="A32" s="176"/>
      <c r="B32" s="52"/>
      <c r="C32" s="52"/>
      <c r="D32" s="52"/>
      <c r="E32" s="93"/>
      <c r="F32" s="93"/>
      <c r="G32" s="202"/>
      <c r="H32" s="177"/>
      <c r="I32" s="37"/>
    </row>
    <row r="33" spans="1:9" ht="13.8" thickBot="1" x14ac:dyDescent="0.3">
      <c r="A33" s="176"/>
      <c r="B33" s="52"/>
      <c r="C33" s="52"/>
      <c r="D33" s="52"/>
      <c r="E33" s="93"/>
      <c r="F33" s="93"/>
      <c r="G33" s="98"/>
      <c r="H33" s="177"/>
      <c r="I33" s="37"/>
    </row>
    <row r="34" spans="1:9" ht="13.8" thickBot="1" x14ac:dyDescent="0.3">
      <c r="A34" s="176" t="s">
        <v>165</v>
      </c>
      <c r="B34" s="52"/>
      <c r="C34" s="52"/>
      <c r="D34" s="52"/>
      <c r="E34" s="199"/>
      <c r="F34" s="177" t="s">
        <v>52</v>
      </c>
      <c r="G34" s="198">
        <f>SUM(G25:G33)</f>
        <v>0</v>
      </c>
      <c r="H34" s="177"/>
      <c r="I34" s="37"/>
    </row>
    <row r="35" spans="1:9" ht="13.8" thickBot="1" x14ac:dyDescent="0.3">
      <c r="A35" s="176"/>
      <c r="B35" s="52"/>
      <c r="C35" s="52"/>
      <c r="D35" s="52"/>
      <c r="E35" s="118"/>
      <c r="F35" s="118"/>
      <c r="G35" s="121"/>
      <c r="H35" s="177"/>
      <c r="I35" s="37"/>
    </row>
    <row r="36" spans="1:9" ht="14.4" thickBot="1" x14ac:dyDescent="0.3">
      <c r="A36" s="203" t="s">
        <v>53</v>
      </c>
      <c r="E36" s="125" t="s">
        <v>54</v>
      </c>
      <c r="F36" s="118"/>
      <c r="G36" s="198">
        <f>SUM(G21-G34)</f>
        <v>0</v>
      </c>
      <c r="H36" s="177"/>
      <c r="I36" s="37"/>
    </row>
    <row r="37" spans="1:9" ht="13.8" thickBot="1" x14ac:dyDescent="0.3">
      <c r="A37" s="204"/>
      <c r="B37" s="205"/>
      <c r="C37" s="205"/>
      <c r="D37" s="205"/>
      <c r="E37" s="72"/>
      <c r="F37" s="72"/>
      <c r="G37" s="72"/>
      <c r="H37" s="206"/>
      <c r="I37" s="207"/>
    </row>
    <row r="39" spans="1:9" ht="13.8" thickBot="1" x14ac:dyDescent="0.3"/>
    <row r="40" spans="1:9" ht="18" thickBot="1" x14ac:dyDescent="0.3">
      <c r="A40" s="172" t="s">
        <v>90</v>
      </c>
    </row>
    <row r="41" spans="1:9" x14ac:dyDescent="0.25">
      <c r="G41" s="208" t="s">
        <v>111</v>
      </c>
      <c r="H41" s="19"/>
      <c r="I41" s="183" t="s">
        <v>43</v>
      </c>
    </row>
    <row r="42" spans="1:9" ht="13.8" thickBot="1" x14ac:dyDescent="0.3">
      <c r="G42" s="209" t="s">
        <v>112</v>
      </c>
      <c r="H42" s="19"/>
      <c r="I42" s="184" t="s">
        <v>44</v>
      </c>
    </row>
    <row r="43" spans="1:9" ht="14.25" customHeight="1" thickBot="1" x14ac:dyDescent="0.3">
      <c r="A43" s="210" t="s">
        <v>92</v>
      </c>
      <c r="B43" s="211"/>
      <c r="C43" s="211"/>
      <c r="D43" s="212"/>
      <c r="E43" s="15">
        <v>1</v>
      </c>
      <c r="F43" s="16"/>
      <c r="G43" s="55">
        <f>+G21</f>
        <v>0</v>
      </c>
      <c r="H43" s="17"/>
      <c r="I43" s="56">
        <f>I21</f>
        <v>0</v>
      </c>
    </row>
    <row r="44" spans="1:9" ht="5.0999999999999996" customHeight="1" thickBot="1" x14ac:dyDescent="0.3">
      <c r="A44" s="213"/>
      <c r="B44" s="214"/>
      <c r="C44" s="214"/>
      <c r="D44" s="52"/>
      <c r="E44" s="18"/>
      <c r="G44" s="20"/>
      <c r="H44" s="21"/>
      <c r="I44" s="22"/>
    </row>
    <row r="45" spans="1:9" ht="13.5" customHeight="1" x14ac:dyDescent="0.25">
      <c r="A45" s="215" t="s">
        <v>97</v>
      </c>
      <c r="B45" s="216"/>
      <c r="C45" s="216"/>
      <c r="D45" s="217"/>
      <c r="E45" s="309">
        <v>2</v>
      </c>
      <c r="F45" s="23"/>
      <c r="G45" s="319" t="s">
        <v>118</v>
      </c>
      <c r="H45" s="24"/>
      <c r="I45" s="321" t="s">
        <v>118</v>
      </c>
    </row>
    <row r="46" spans="1:9" ht="13.8" thickBot="1" x14ac:dyDescent="0.3">
      <c r="A46" s="218" t="s">
        <v>98</v>
      </c>
      <c r="B46" s="219"/>
      <c r="C46" s="219"/>
      <c r="D46" s="220"/>
      <c r="E46" s="310"/>
      <c r="F46" s="25"/>
      <c r="G46" s="320"/>
      <c r="H46" s="26"/>
      <c r="I46" s="322"/>
    </row>
    <row r="47" spans="1:9" ht="5.0999999999999996" customHeight="1" thickBot="1" x14ac:dyDescent="0.3">
      <c r="A47" s="213"/>
      <c r="B47" s="214"/>
      <c r="C47" s="214"/>
      <c r="D47" s="52"/>
      <c r="E47" s="18"/>
      <c r="G47" s="20"/>
      <c r="H47" s="21"/>
      <c r="I47" s="22"/>
    </row>
    <row r="48" spans="1:9" ht="14.25" customHeight="1" thickBot="1" x14ac:dyDescent="0.3">
      <c r="A48" s="210" t="s">
        <v>94</v>
      </c>
      <c r="B48" s="211"/>
      <c r="C48" s="211"/>
      <c r="D48" s="212"/>
      <c r="E48" s="15">
        <v>3</v>
      </c>
      <c r="F48" s="16"/>
      <c r="G48" s="55">
        <f>SUM(G43:G45)</f>
        <v>0</v>
      </c>
      <c r="H48" s="17"/>
      <c r="I48" s="56">
        <f>SUM(I43:I45)</f>
        <v>0</v>
      </c>
    </row>
    <row r="49" spans="1:9" ht="5.0999999999999996" customHeight="1" thickBot="1" x14ac:dyDescent="0.3">
      <c r="A49" s="221"/>
      <c r="B49" s="214"/>
      <c r="C49" s="214"/>
      <c r="D49" s="52"/>
      <c r="E49" s="18"/>
      <c r="G49" s="20"/>
      <c r="H49" s="21"/>
      <c r="I49" s="22"/>
    </row>
    <row r="50" spans="1:9" ht="13.5" customHeight="1" x14ac:dyDescent="0.25">
      <c r="A50" s="215" t="s">
        <v>99</v>
      </c>
      <c r="B50" s="216"/>
      <c r="C50" s="216"/>
      <c r="D50" s="217"/>
      <c r="E50" s="309">
        <v>4</v>
      </c>
      <c r="F50" s="23"/>
      <c r="G50" s="317">
        <f>G34</f>
        <v>0</v>
      </c>
      <c r="H50" s="24"/>
      <c r="I50" s="321">
        <v>0</v>
      </c>
    </row>
    <row r="51" spans="1:9" ht="13.5" customHeight="1" thickBot="1" x14ac:dyDescent="0.3">
      <c r="A51" s="218" t="s">
        <v>100</v>
      </c>
      <c r="B51" s="219"/>
      <c r="C51" s="219"/>
      <c r="D51" s="220"/>
      <c r="E51" s="310"/>
      <c r="F51" s="25"/>
      <c r="G51" s="318"/>
      <c r="H51" s="26"/>
      <c r="I51" s="322"/>
    </row>
    <row r="52" spans="1:9" ht="5.0999999999999996" customHeight="1" thickBot="1" x14ac:dyDescent="0.3">
      <c r="A52" s="213"/>
      <c r="B52" s="214"/>
      <c r="C52" s="214"/>
      <c r="D52" s="52"/>
      <c r="E52" s="18"/>
      <c r="G52" s="20"/>
      <c r="H52" s="21"/>
      <c r="I52" s="22"/>
    </row>
    <row r="53" spans="1:9" ht="13.5" customHeight="1" x14ac:dyDescent="0.25">
      <c r="A53" s="222" t="s">
        <v>101</v>
      </c>
      <c r="B53" s="223"/>
      <c r="C53" s="224"/>
      <c r="D53" s="224"/>
      <c r="E53" s="311">
        <v>5</v>
      </c>
      <c r="F53" s="27"/>
      <c r="G53" s="317">
        <f>+G48-G50</f>
        <v>0</v>
      </c>
      <c r="H53" s="24"/>
      <c r="I53" s="321">
        <f>+I48-I50</f>
        <v>0</v>
      </c>
    </row>
    <row r="54" spans="1:9" ht="13.8" thickBot="1" x14ac:dyDescent="0.3">
      <c r="A54" s="225" t="s">
        <v>102</v>
      </c>
      <c r="B54" s="226"/>
      <c r="C54" s="227"/>
      <c r="D54" s="227"/>
      <c r="E54" s="312"/>
      <c r="F54" s="28"/>
      <c r="G54" s="318"/>
      <c r="H54" s="26"/>
      <c r="I54" s="322"/>
    </row>
    <row r="55" spans="1:9" ht="5.0999999999999996" customHeight="1" thickBot="1" x14ac:dyDescent="0.3">
      <c r="A55" s="52"/>
      <c r="B55" s="52"/>
      <c r="C55" s="52"/>
      <c r="D55" s="52"/>
      <c r="E55" s="29"/>
      <c r="G55" s="30"/>
      <c r="H55" s="19"/>
      <c r="I55" s="31"/>
    </row>
    <row r="56" spans="1:9" ht="13.5" customHeight="1" x14ac:dyDescent="0.25">
      <c r="A56" s="215" t="s">
        <v>103</v>
      </c>
      <c r="B56" s="228"/>
      <c r="C56" s="228"/>
      <c r="D56" s="217"/>
      <c r="E56" s="309">
        <v>6</v>
      </c>
      <c r="F56" s="23"/>
      <c r="G56" s="325">
        <f>+E16</f>
        <v>0</v>
      </c>
      <c r="H56" s="32"/>
      <c r="I56" s="315">
        <f>+I19</f>
        <v>0</v>
      </c>
    </row>
    <row r="57" spans="1:9" ht="13.8" thickBot="1" x14ac:dyDescent="0.3">
      <c r="A57" s="218" t="s">
        <v>104</v>
      </c>
      <c r="B57" s="229"/>
      <c r="C57" s="229"/>
      <c r="D57" s="220"/>
      <c r="E57" s="310"/>
      <c r="F57" s="25"/>
      <c r="G57" s="326"/>
      <c r="H57" s="33"/>
      <c r="I57" s="316"/>
    </row>
    <row r="58" spans="1:9" ht="5.0999999999999996" customHeight="1" thickBot="1" x14ac:dyDescent="0.3">
      <c r="A58" s="213"/>
      <c r="B58" s="230"/>
      <c r="C58" s="230"/>
      <c r="D58" s="52"/>
      <c r="E58" s="18"/>
      <c r="G58" s="34"/>
      <c r="H58" s="35"/>
      <c r="I58" s="36"/>
    </row>
    <row r="59" spans="1:9" ht="13.5" customHeight="1" x14ac:dyDescent="0.25">
      <c r="A59" s="215" t="s">
        <v>105</v>
      </c>
      <c r="B59" s="228"/>
      <c r="C59" s="228"/>
      <c r="D59" s="217"/>
      <c r="E59" s="309">
        <v>7</v>
      </c>
      <c r="F59" s="23"/>
      <c r="G59" s="325">
        <f>SUM(G50/20%)</f>
        <v>0</v>
      </c>
      <c r="H59" s="32"/>
      <c r="I59" s="315">
        <f>SUM(I50/20%)</f>
        <v>0</v>
      </c>
    </row>
    <row r="60" spans="1:9" ht="13.8" thickBot="1" x14ac:dyDescent="0.3">
      <c r="A60" s="218" t="s">
        <v>119</v>
      </c>
      <c r="B60" s="229"/>
      <c r="C60" s="229"/>
      <c r="D60" s="220"/>
      <c r="E60" s="310"/>
      <c r="F60" s="37"/>
      <c r="G60" s="326"/>
      <c r="H60" s="33"/>
      <c r="I60" s="316"/>
    </row>
    <row r="61" spans="1:9" ht="5.0999999999999996" customHeight="1" thickBot="1" x14ac:dyDescent="0.3">
      <c r="A61" s="213"/>
      <c r="B61" s="230"/>
      <c r="C61" s="230"/>
      <c r="D61" s="52"/>
      <c r="E61" s="18"/>
      <c r="F61" s="28"/>
      <c r="G61" s="34"/>
      <c r="H61" s="35"/>
      <c r="I61" s="36"/>
    </row>
    <row r="62" spans="1:9" ht="13.5" customHeight="1" x14ac:dyDescent="0.25">
      <c r="A62" s="215" t="s">
        <v>108</v>
      </c>
      <c r="B62" s="228"/>
      <c r="C62" s="228"/>
      <c r="D62" s="217"/>
      <c r="E62" s="309">
        <v>8</v>
      </c>
      <c r="F62" s="23"/>
      <c r="G62" s="313" t="s">
        <v>118</v>
      </c>
      <c r="H62" s="32"/>
      <c r="I62" s="315" t="s">
        <v>118</v>
      </c>
    </row>
    <row r="63" spans="1:9" ht="13.8" thickBot="1" x14ac:dyDescent="0.3">
      <c r="A63" s="218" t="s">
        <v>107</v>
      </c>
      <c r="B63" s="229"/>
      <c r="C63" s="229"/>
      <c r="D63" s="220"/>
      <c r="E63" s="310"/>
      <c r="F63" s="25"/>
      <c r="G63" s="314"/>
      <c r="H63" s="33"/>
      <c r="I63" s="316"/>
    </row>
    <row r="64" spans="1:9" ht="5.0999999999999996" customHeight="1" thickBot="1" x14ac:dyDescent="0.3">
      <c r="A64" s="213"/>
      <c r="B64" s="230"/>
      <c r="C64" s="230"/>
      <c r="D64" s="52"/>
      <c r="E64" s="18"/>
      <c r="G64" s="34"/>
      <c r="H64" s="35"/>
      <c r="I64" s="36"/>
    </row>
    <row r="65" spans="1:9" ht="13.5" customHeight="1" x14ac:dyDescent="0.25">
      <c r="A65" s="215" t="s">
        <v>109</v>
      </c>
      <c r="B65" s="228"/>
      <c r="C65" s="228"/>
      <c r="D65" s="217"/>
      <c r="E65" s="309">
        <v>9</v>
      </c>
      <c r="F65" s="23"/>
      <c r="G65" s="325" t="s">
        <v>118</v>
      </c>
      <c r="H65" s="32"/>
      <c r="I65" s="315" t="s">
        <v>118</v>
      </c>
    </row>
    <row r="66" spans="1:9" ht="13.8" thickBot="1" x14ac:dyDescent="0.3">
      <c r="A66" s="231" t="s">
        <v>106</v>
      </c>
      <c r="B66" s="229"/>
      <c r="C66" s="229"/>
      <c r="D66" s="220"/>
      <c r="E66" s="310"/>
      <c r="F66" s="25"/>
      <c r="G66" s="327"/>
      <c r="H66" s="38"/>
      <c r="I66" s="324"/>
    </row>
  </sheetData>
  <customSheetViews>
    <customSheetView guid="{93A5533C-1BF0-4CFD-B527-DBAD1AD08F71}" fitToPage="1" showRuler="0">
      <pageMargins left="0.59055118110236227" right="0.15748031496062992" top="0.59055118110236227" bottom="0.59055118110236227" header="0.31496062992125984" footer="0.31496062992125984"/>
      <printOptions horizontalCentered="1"/>
      <pageSetup paperSize="9" scale="93" orientation="portrait" r:id="rId1"/>
      <headerFooter alignWithMargins="0">
        <oddHeader>&amp;C&amp;A</oddHeader>
        <oddFooter>&amp;L&amp;8&amp;F&amp;C&amp;8Page &amp;P&amp;R&amp;8&amp;D</oddFooter>
      </headerFooter>
    </customSheetView>
  </customSheetViews>
  <mergeCells count="21">
    <mergeCell ref="G65:G66"/>
    <mergeCell ref="I65:I66"/>
    <mergeCell ref="I59:I60"/>
    <mergeCell ref="G62:G63"/>
    <mergeCell ref="G59:G60"/>
    <mergeCell ref="I62:I63"/>
    <mergeCell ref="G56:G57"/>
    <mergeCell ref="I56:I57"/>
    <mergeCell ref="G53:G54"/>
    <mergeCell ref="G45:G46"/>
    <mergeCell ref="I50:I51"/>
    <mergeCell ref="I53:I54"/>
    <mergeCell ref="I45:I46"/>
    <mergeCell ref="G50:G51"/>
    <mergeCell ref="E59:E60"/>
    <mergeCell ref="E62:E63"/>
    <mergeCell ref="E65:E66"/>
    <mergeCell ref="E45:E46"/>
    <mergeCell ref="E50:E51"/>
    <mergeCell ref="E53:E54"/>
    <mergeCell ref="E56:E57"/>
  </mergeCells>
  <phoneticPr fontId="0" type="noConversion"/>
  <printOptions horizontalCentered="1"/>
  <pageMargins left="0.59055118110236227" right="0.15748031496062992" top="0.59055118110236227" bottom="0.59055118110236227" header="0.31496062992125984" footer="0.31496062992125984"/>
  <pageSetup paperSize="9" scale="93" orientation="portrait" r:id="rId2"/>
  <headerFooter alignWithMargins="0">
    <oddHeader>&amp;CVAT Summary - &amp;A</oddHeader>
    <oddFooter>&amp;L&amp;8&amp;Z&amp;F\&amp;A&amp;C&amp;8Page &amp;P&amp;R&amp;8&amp;D  &amp;T</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pageSetUpPr fitToPage="1"/>
  </sheetPr>
  <dimension ref="A1:J66"/>
  <sheetViews>
    <sheetView workbookViewId="0">
      <selection activeCell="I9" sqref="I9"/>
    </sheetView>
  </sheetViews>
  <sheetFormatPr defaultColWidth="9.109375" defaultRowHeight="13.2" x14ac:dyDescent="0.25"/>
  <cols>
    <col min="1" max="1" width="22.5546875" style="19" bestFit="1" customWidth="1"/>
    <col min="2" max="2" width="7.88671875" style="19" customWidth="1"/>
    <col min="3" max="3" width="3.5546875" style="19" bestFit="1" customWidth="1"/>
    <col min="4" max="4" width="14.88671875" style="19" customWidth="1"/>
    <col min="5" max="5" width="11.33203125" style="19" customWidth="1"/>
    <col min="6" max="6" width="2.44140625" style="19" bestFit="1" customWidth="1"/>
    <col min="7" max="7" width="9.109375" style="19"/>
    <col min="8" max="8" width="3" style="29" customWidth="1"/>
    <col min="9" max="9" width="11.33203125" style="19" customWidth="1"/>
    <col min="10" max="10" width="6.33203125" style="19" bestFit="1" customWidth="1"/>
    <col min="11" max="16384" width="9.109375" style="19"/>
  </cols>
  <sheetData>
    <row r="1" spans="1:10" ht="16.2" thickBot="1" x14ac:dyDescent="0.3">
      <c r="A1" s="169" t="str">
        <f>'Company Info'!B5</f>
        <v>ABC Limited</v>
      </c>
      <c r="B1" s="170"/>
      <c r="C1" s="170"/>
      <c r="D1" s="171"/>
    </row>
    <row r="2" spans="1:10" ht="13.8" thickBot="1" x14ac:dyDescent="0.3"/>
    <row r="3" spans="1:10" ht="18" thickBot="1" x14ac:dyDescent="0.3">
      <c r="A3" s="172" t="s">
        <v>89</v>
      </c>
      <c r="B3" s="173"/>
      <c r="C3" s="173"/>
      <c r="D3" s="173"/>
      <c r="E3" s="173"/>
      <c r="F3" s="173"/>
      <c r="G3" s="173"/>
      <c r="H3" s="174"/>
      <c r="I3" s="175"/>
    </row>
    <row r="4" spans="1:10" x14ac:dyDescent="0.25">
      <c r="A4" s="176"/>
      <c r="B4" s="52"/>
      <c r="C4" s="52"/>
      <c r="D4" s="52"/>
      <c r="E4" s="52"/>
      <c r="F4" s="52"/>
      <c r="G4" s="52"/>
      <c r="H4" s="177"/>
      <c r="I4" s="37"/>
    </row>
    <row r="5" spans="1:10" ht="13.8" x14ac:dyDescent="0.25">
      <c r="A5" s="178" t="s">
        <v>42</v>
      </c>
      <c r="B5" s="179">
        <f>'Month 10'!O3</f>
        <v>40937</v>
      </c>
      <c r="C5" s="180" t="s">
        <v>110</v>
      </c>
      <c r="D5" s="181">
        <f>'Month 12'!O3</f>
        <v>40999</v>
      </c>
      <c r="E5" s="182"/>
      <c r="F5" s="52"/>
      <c r="G5" s="52"/>
      <c r="H5" s="177"/>
      <c r="I5" s="37"/>
    </row>
    <row r="6" spans="1:10" ht="14.4" thickBot="1" x14ac:dyDescent="0.3">
      <c r="A6" s="178"/>
      <c r="B6" s="179"/>
      <c r="C6" s="180"/>
      <c r="D6" s="181"/>
      <c r="E6" s="182"/>
      <c r="F6" s="52"/>
      <c r="G6" s="52"/>
      <c r="H6" s="177"/>
      <c r="I6" s="37"/>
    </row>
    <row r="7" spans="1:10" x14ac:dyDescent="0.25">
      <c r="A7" s="176"/>
      <c r="B7" s="52"/>
      <c r="C7" s="52"/>
      <c r="D7" s="52"/>
      <c r="E7" s="52"/>
      <c r="F7" s="52"/>
      <c r="G7" s="52"/>
      <c r="H7" s="177"/>
      <c r="I7" s="183" t="s">
        <v>43</v>
      </c>
    </row>
    <row r="8" spans="1:10" x14ac:dyDescent="0.25">
      <c r="A8" s="176"/>
      <c r="B8" s="52"/>
      <c r="C8" s="52"/>
      <c r="D8" s="52"/>
      <c r="E8" s="52"/>
      <c r="F8" s="52"/>
      <c r="G8" s="52"/>
      <c r="H8" s="177"/>
      <c r="I8" s="184" t="s">
        <v>44</v>
      </c>
    </row>
    <row r="9" spans="1:10" x14ac:dyDescent="0.25">
      <c r="A9" s="176"/>
      <c r="B9" s="52"/>
      <c r="C9" s="52"/>
      <c r="D9" s="52"/>
      <c r="E9" s="52"/>
      <c r="F9" s="52"/>
      <c r="G9" s="185"/>
      <c r="H9" s="186"/>
      <c r="I9" s="187">
        <f>+'VAT 3rd Qtr'!I9</f>
        <v>0.13500000000000001</v>
      </c>
    </row>
    <row r="10" spans="1:10" x14ac:dyDescent="0.25">
      <c r="A10" s="176"/>
      <c r="B10" s="52"/>
      <c r="C10" s="52"/>
      <c r="D10" s="52"/>
      <c r="E10" s="188" t="s">
        <v>45</v>
      </c>
      <c r="F10" s="125"/>
      <c r="G10" s="189" t="s">
        <v>15</v>
      </c>
      <c r="H10" s="177"/>
      <c r="I10" s="190"/>
    </row>
    <row r="11" spans="1:10" ht="13.8" x14ac:dyDescent="0.25">
      <c r="A11" s="191" t="s">
        <v>46</v>
      </c>
      <c r="B11" s="52"/>
      <c r="C11" s="52"/>
      <c r="D11" s="52"/>
      <c r="E11" s="52"/>
      <c r="F11" s="52"/>
      <c r="G11" s="52"/>
      <c r="H11" s="177"/>
      <c r="I11" s="190"/>
    </row>
    <row r="12" spans="1:10" x14ac:dyDescent="0.25">
      <c r="A12" s="176" t="s">
        <v>47</v>
      </c>
      <c r="B12" s="192">
        <f>+'Month 10'!O3</f>
        <v>40937</v>
      </c>
      <c r="C12" s="52"/>
      <c r="D12" s="193" t="s">
        <v>19</v>
      </c>
      <c r="E12" s="194">
        <f>+'Month 10'!E19+'Month 10'!F19</f>
        <v>0</v>
      </c>
      <c r="F12" s="195" t="s">
        <v>20</v>
      </c>
      <c r="G12" s="194">
        <f>+'Month 10'!G19</f>
        <v>0</v>
      </c>
      <c r="H12" s="177"/>
      <c r="I12" s="190"/>
      <c r="J12" s="245"/>
    </row>
    <row r="13" spans="1:10" x14ac:dyDescent="0.25">
      <c r="A13" s="176" t="s">
        <v>48</v>
      </c>
      <c r="B13" s="192">
        <f>+'Month 11'!O3</f>
        <v>40968</v>
      </c>
      <c r="C13" s="52"/>
      <c r="D13" s="193" t="s">
        <v>19</v>
      </c>
      <c r="E13" s="194">
        <f>+'Month 11'!E19+'Month 11'!F19</f>
        <v>0</v>
      </c>
      <c r="F13" s="195" t="s">
        <v>20</v>
      </c>
      <c r="G13" s="194">
        <f>+'Month 11'!G19</f>
        <v>0</v>
      </c>
      <c r="H13" s="177"/>
      <c r="I13" s="190"/>
      <c r="J13" s="245"/>
    </row>
    <row r="14" spans="1:10" x14ac:dyDescent="0.25">
      <c r="A14" s="176" t="s">
        <v>49</v>
      </c>
      <c r="B14" s="192">
        <f>+'Month 12'!O3</f>
        <v>40999</v>
      </c>
      <c r="C14" s="52"/>
      <c r="D14" s="193" t="s">
        <v>19</v>
      </c>
      <c r="E14" s="194">
        <f>+'Month 12'!E19+'Month 12'!F19</f>
        <v>0</v>
      </c>
      <c r="F14" s="195" t="s">
        <v>20</v>
      </c>
      <c r="G14" s="194">
        <f>+'Month 12'!G19</f>
        <v>0</v>
      </c>
      <c r="H14" s="177"/>
      <c r="I14" s="190"/>
      <c r="J14" s="245"/>
    </row>
    <row r="15" spans="1:10" ht="13.8" thickBot="1" x14ac:dyDescent="0.3">
      <c r="A15" s="176" t="s">
        <v>125</v>
      </c>
      <c r="B15" s="52"/>
      <c r="C15" s="52"/>
      <c r="D15" s="52"/>
      <c r="E15" s="196"/>
      <c r="F15" s="52"/>
      <c r="G15" s="196"/>
      <c r="H15" s="177"/>
      <c r="I15" s="190"/>
    </row>
    <row r="16" spans="1:10" ht="13.8" thickBot="1" x14ac:dyDescent="0.3">
      <c r="A16" s="176"/>
      <c r="B16" s="52"/>
      <c r="C16" s="52"/>
      <c r="D16" s="197"/>
      <c r="E16" s="198">
        <f>SUM(E12:E15)</f>
        <v>0</v>
      </c>
      <c r="F16" s="93"/>
      <c r="G16" s="121"/>
      <c r="H16" s="177"/>
      <c r="I16" s="243">
        <f>+E16+G21</f>
        <v>0</v>
      </c>
    </row>
    <row r="17" spans="1:9" x14ac:dyDescent="0.25">
      <c r="A17" s="249" t="s">
        <v>167</v>
      </c>
      <c r="B17" s="52"/>
      <c r="C17" s="52"/>
      <c r="D17" s="197"/>
      <c r="E17" s="241"/>
      <c r="F17" s="93"/>
      <c r="G17" s="121"/>
      <c r="H17" s="177"/>
      <c r="I17" s="247" t="s">
        <v>168</v>
      </c>
    </row>
    <row r="18" spans="1:9" ht="13.8" thickBot="1" x14ac:dyDescent="0.3">
      <c r="A18" s="249" t="s">
        <v>166</v>
      </c>
      <c r="B18" s="52"/>
      <c r="C18" s="52"/>
      <c r="D18" s="197"/>
      <c r="E18" s="241"/>
      <c r="F18" s="93"/>
      <c r="G18" s="121"/>
      <c r="H18" s="177"/>
      <c r="I18" s="248" t="s">
        <v>168</v>
      </c>
    </row>
    <row r="19" spans="1:9" ht="13.8" thickBot="1" x14ac:dyDescent="0.3">
      <c r="A19" s="176"/>
      <c r="B19" s="52"/>
      <c r="C19" s="52"/>
      <c r="D19" s="197"/>
      <c r="E19" s="241"/>
      <c r="F19" s="93"/>
      <c r="G19" s="121"/>
      <c r="H19" s="177"/>
      <c r="I19" s="198">
        <f>SUM(I16:I18)</f>
        <v>0</v>
      </c>
    </row>
    <row r="20" spans="1:9" ht="13.8" thickBot="1" x14ac:dyDescent="0.3">
      <c r="A20" s="176"/>
      <c r="B20" s="52"/>
      <c r="C20" s="52"/>
      <c r="D20" s="52"/>
      <c r="E20" s="93"/>
      <c r="H20" s="177"/>
      <c r="I20" s="242"/>
    </row>
    <row r="21" spans="1:9" ht="13.8" thickBot="1" x14ac:dyDescent="0.3">
      <c r="A21" s="176" t="s">
        <v>164</v>
      </c>
      <c r="B21" s="52"/>
      <c r="C21" s="52"/>
      <c r="D21" s="52"/>
      <c r="E21" s="199"/>
      <c r="F21" s="177" t="s">
        <v>50</v>
      </c>
      <c r="G21" s="198">
        <f>SUM(G12:G16)</f>
        <v>0</v>
      </c>
      <c r="H21" s="177"/>
      <c r="I21" s="198">
        <f>+I9*I19</f>
        <v>0</v>
      </c>
    </row>
    <row r="22" spans="1:9" x14ac:dyDescent="0.25">
      <c r="A22" s="176"/>
      <c r="B22" s="52"/>
      <c r="C22" s="52"/>
      <c r="D22" s="52"/>
      <c r="E22" s="93"/>
      <c r="F22" s="93"/>
      <c r="G22" s="93"/>
      <c r="H22" s="177"/>
      <c r="I22" s="37"/>
    </row>
    <row r="23" spans="1:9" ht="13.8" x14ac:dyDescent="0.25">
      <c r="A23" s="191" t="s">
        <v>51</v>
      </c>
      <c r="B23" s="52"/>
      <c r="C23" s="52"/>
      <c r="D23" s="52"/>
      <c r="E23" s="93"/>
      <c r="F23" s="93"/>
      <c r="G23" s="93"/>
      <c r="H23" s="177"/>
      <c r="I23" s="37"/>
    </row>
    <row r="24" spans="1:9" x14ac:dyDescent="0.25">
      <c r="A24" s="200" t="s">
        <v>95</v>
      </c>
      <c r="B24" s="52"/>
      <c r="C24" s="52"/>
      <c r="D24" s="52"/>
      <c r="E24" s="93"/>
      <c r="F24" s="52"/>
      <c r="G24" s="52"/>
      <c r="H24" s="177"/>
      <c r="I24" s="37"/>
    </row>
    <row r="25" spans="1:9" x14ac:dyDescent="0.25">
      <c r="A25" s="176" t="s">
        <v>47</v>
      </c>
      <c r="B25" s="192">
        <f>+'Month 10'!O3</f>
        <v>40937</v>
      </c>
      <c r="C25" s="52"/>
      <c r="D25" s="52"/>
      <c r="E25" s="93"/>
      <c r="F25" s="195" t="s">
        <v>27</v>
      </c>
      <c r="G25" s="194">
        <f>+'Month 10'!O42</f>
        <v>0</v>
      </c>
      <c r="H25" s="177"/>
      <c r="I25" s="37"/>
    </row>
    <row r="26" spans="1:9" x14ac:dyDescent="0.25">
      <c r="A26" s="176" t="s">
        <v>48</v>
      </c>
      <c r="B26" s="192">
        <f>+'Month 11'!O3</f>
        <v>40968</v>
      </c>
      <c r="C26" s="52"/>
      <c r="D26" s="52"/>
      <c r="E26" s="93"/>
      <c r="F26" s="195" t="s">
        <v>27</v>
      </c>
      <c r="G26" s="194">
        <f>+'Month 11'!O42</f>
        <v>0</v>
      </c>
      <c r="H26" s="177"/>
      <c r="I26" s="37"/>
    </row>
    <row r="27" spans="1:9" x14ac:dyDescent="0.25">
      <c r="A27" s="176" t="s">
        <v>49</v>
      </c>
      <c r="B27" s="192">
        <f>+'Month 12'!O3</f>
        <v>40999</v>
      </c>
      <c r="C27" s="62"/>
      <c r="D27" s="52"/>
      <c r="E27" s="93"/>
      <c r="F27" s="195" t="s">
        <v>27</v>
      </c>
      <c r="G27" s="194">
        <f>+'Month 12'!O42</f>
        <v>0</v>
      </c>
      <c r="H27" s="177"/>
      <c r="I27" s="37"/>
    </row>
    <row r="28" spans="1:9" x14ac:dyDescent="0.25">
      <c r="A28" s="200" t="s">
        <v>25</v>
      </c>
      <c r="B28" s="201"/>
      <c r="C28" s="52"/>
      <c r="D28" s="52"/>
      <c r="E28" s="93"/>
      <c r="F28" s="195"/>
      <c r="G28" s="194"/>
      <c r="H28" s="177"/>
      <c r="I28" s="37"/>
    </row>
    <row r="29" spans="1:9" x14ac:dyDescent="0.25">
      <c r="A29" s="176" t="s">
        <v>47</v>
      </c>
      <c r="B29" s="192">
        <f>+'Month 10'!O3</f>
        <v>40937</v>
      </c>
      <c r="C29" s="52"/>
      <c r="D29" s="52"/>
      <c r="E29" s="93"/>
      <c r="F29" s="195" t="s">
        <v>41</v>
      </c>
      <c r="G29" s="194">
        <f>'Month 10'!O88</f>
        <v>0</v>
      </c>
      <c r="H29" s="177"/>
      <c r="I29" s="37"/>
    </row>
    <row r="30" spans="1:9" x14ac:dyDescent="0.25">
      <c r="A30" s="176" t="s">
        <v>48</v>
      </c>
      <c r="B30" s="192">
        <f>+'Month 11'!O3</f>
        <v>40968</v>
      </c>
      <c r="C30" s="52"/>
      <c r="D30" s="52"/>
      <c r="E30" s="93"/>
      <c r="F30" s="195" t="s">
        <v>41</v>
      </c>
      <c r="G30" s="194">
        <f>'Month 11'!O88</f>
        <v>0</v>
      </c>
      <c r="H30" s="177"/>
      <c r="I30" s="37"/>
    </row>
    <row r="31" spans="1:9" x14ac:dyDescent="0.25">
      <c r="A31" s="176" t="s">
        <v>49</v>
      </c>
      <c r="B31" s="192">
        <f>+'Month 12'!O3</f>
        <v>40999</v>
      </c>
      <c r="C31" s="62"/>
      <c r="D31" s="52"/>
      <c r="E31" s="93"/>
      <c r="F31" s="195" t="s">
        <v>41</v>
      </c>
      <c r="G31" s="194">
        <f>'Month 12'!O88</f>
        <v>0</v>
      </c>
      <c r="H31" s="177"/>
      <c r="I31" s="37"/>
    </row>
    <row r="32" spans="1:9" x14ac:dyDescent="0.25">
      <c r="A32" s="176"/>
      <c r="B32" s="52"/>
      <c r="C32" s="52"/>
      <c r="D32" s="52"/>
      <c r="E32" s="93"/>
      <c r="F32" s="93"/>
      <c r="G32" s="202"/>
      <c r="H32" s="177"/>
      <c r="I32" s="37"/>
    </row>
    <row r="33" spans="1:9" ht="13.8" thickBot="1" x14ac:dyDescent="0.3">
      <c r="A33" s="176"/>
      <c r="B33" s="52"/>
      <c r="C33" s="52"/>
      <c r="D33" s="52"/>
      <c r="E33" s="93"/>
      <c r="F33" s="93"/>
      <c r="G33" s="98"/>
      <c r="H33" s="177"/>
      <c r="I33" s="37"/>
    </row>
    <row r="34" spans="1:9" ht="13.8" thickBot="1" x14ac:dyDescent="0.3">
      <c r="A34" s="176" t="s">
        <v>165</v>
      </c>
      <c r="B34" s="52"/>
      <c r="C34" s="52"/>
      <c r="D34" s="52"/>
      <c r="E34" s="199"/>
      <c r="F34" s="177" t="s">
        <v>52</v>
      </c>
      <c r="G34" s="198">
        <f>SUM(G25:G33)</f>
        <v>0</v>
      </c>
      <c r="H34" s="177"/>
      <c r="I34" s="37"/>
    </row>
    <row r="35" spans="1:9" ht="13.8" thickBot="1" x14ac:dyDescent="0.3">
      <c r="A35" s="176"/>
      <c r="B35" s="52"/>
      <c r="C35" s="52"/>
      <c r="D35" s="52"/>
      <c r="E35" s="118"/>
      <c r="F35" s="118"/>
      <c r="G35" s="121"/>
      <c r="H35" s="177"/>
      <c r="I35" s="37"/>
    </row>
    <row r="36" spans="1:9" ht="14.4" thickBot="1" x14ac:dyDescent="0.3">
      <c r="A36" s="203" t="s">
        <v>53</v>
      </c>
      <c r="E36" s="125" t="s">
        <v>54</v>
      </c>
      <c r="F36" s="118"/>
      <c r="G36" s="198">
        <f>SUM(G21-G34)</f>
        <v>0</v>
      </c>
      <c r="H36" s="177"/>
      <c r="I36" s="37"/>
    </row>
    <row r="37" spans="1:9" ht="13.8" thickBot="1" x14ac:dyDescent="0.3">
      <c r="A37" s="204"/>
      <c r="B37" s="205"/>
      <c r="C37" s="205"/>
      <c r="D37" s="205"/>
      <c r="E37" s="72"/>
      <c r="F37" s="72"/>
      <c r="G37" s="72"/>
      <c r="H37" s="206"/>
      <c r="I37" s="207"/>
    </row>
    <row r="39" spans="1:9" ht="13.8" thickBot="1" x14ac:dyDescent="0.3"/>
    <row r="40" spans="1:9" ht="18" thickBot="1" x14ac:dyDescent="0.3">
      <c r="A40" s="172" t="s">
        <v>90</v>
      </c>
    </row>
    <row r="41" spans="1:9" x14ac:dyDescent="0.25">
      <c r="G41" s="208" t="s">
        <v>111</v>
      </c>
      <c r="H41" s="19"/>
      <c r="I41" s="183" t="s">
        <v>43</v>
      </c>
    </row>
    <row r="42" spans="1:9" ht="13.8" thickBot="1" x14ac:dyDescent="0.3">
      <c r="G42" s="209" t="s">
        <v>112</v>
      </c>
      <c r="H42" s="19"/>
      <c r="I42" s="184" t="s">
        <v>44</v>
      </c>
    </row>
    <row r="43" spans="1:9" ht="14.25" customHeight="1" thickBot="1" x14ac:dyDescent="0.3">
      <c r="A43" s="210" t="s">
        <v>92</v>
      </c>
      <c r="B43" s="211"/>
      <c r="C43" s="211"/>
      <c r="D43" s="212"/>
      <c r="E43" s="15">
        <v>1</v>
      </c>
      <c r="F43" s="16"/>
      <c r="G43" s="55">
        <f>+G21</f>
        <v>0</v>
      </c>
      <c r="H43" s="17"/>
      <c r="I43" s="56">
        <f>I21</f>
        <v>0</v>
      </c>
    </row>
    <row r="44" spans="1:9" ht="5.0999999999999996" customHeight="1" thickBot="1" x14ac:dyDescent="0.3">
      <c r="A44" s="213"/>
      <c r="B44" s="214"/>
      <c r="C44" s="214"/>
      <c r="D44" s="52"/>
      <c r="E44" s="18"/>
      <c r="G44" s="20"/>
      <c r="H44" s="21"/>
      <c r="I44" s="22"/>
    </row>
    <row r="45" spans="1:9" ht="13.5" customHeight="1" x14ac:dyDescent="0.25">
      <c r="A45" s="215" t="s">
        <v>97</v>
      </c>
      <c r="B45" s="216"/>
      <c r="C45" s="216"/>
      <c r="D45" s="217"/>
      <c r="E45" s="309">
        <v>2</v>
      </c>
      <c r="F45" s="23"/>
      <c r="G45" s="319" t="s">
        <v>118</v>
      </c>
      <c r="H45" s="24"/>
      <c r="I45" s="321" t="s">
        <v>118</v>
      </c>
    </row>
    <row r="46" spans="1:9" ht="13.8" thickBot="1" x14ac:dyDescent="0.3">
      <c r="A46" s="218" t="s">
        <v>98</v>
      </c>
      <c r="B46" s="219"/>
      <c r="C46" s="219"/>
      <c r="D46" s="220"/>
      <c r="E46" s="310"/>
      <c r="F46" s="25"/>
      <c r="G46" s="320"/>
      <c r="H46" s="26"/>
      <c r="I46" s="322"/>
    </row>
    <row r="47" spans="1:9" ht="5.0999999999999996" customHeight="1" thickBot="1" x14ac:dyDescent="0.3">
      <c r="A47" s="213"/>
      <c r="B47" s="214"/>
      <c r="C47" s="214"/>
      <c r="D47" s="52"/>
      <c r="E47" s="18"/>
      <c r="G47" s="20"/>
      <c r="H47" s="21"/>
      <c r="I47" s="22"/>
    </row>
    <row r="48" spans="1:9" ht="14.25" customHeight="1" thickBot="1" x14ac:dyDescent="0.3">
      <c r="A48" s="210" t="s">
        <v>94</v>
      </c>
      <c r="B48" s="211"/>
      <c r="C48" s="211"/>
      <c r="D48" s="212"/>
      <c r="E48" s="15">
        <v>3</v>
      </c>
      <c r="F48" s="16"/>
      <c r="G48" s="55">
        <f>SUM(G43:G45)</f>
        <v>0</v>
      </c>
      <c r="H48" s="17"/>
      <c r="I48" s="56">
        <f>SUM(I43:I45)</f>
        <v>0</v>
      </c>
    </row>
    <row r="49" spans="1:9" ht="5.0999999999999996" customHeight="1" thickBot="1" x14ac:dyDescent="0.3">
      <c r="A49" s="221"/>
      <c r="B49" s="214"/>
      <c r="C49" s="214"/>
      <c r="D49" s="52"/>
      <c r="E49" s="18"/>
      <c r="G49" s="20"/>
      <c r="H49" s="21"/>
      <c r="I49" s="22"/>
    </row>
    <row r="50" spans="1:9" ht="13.5" customHeight="1" x14ac:dyDescent="0.25">
      <c r="A50" s="215" t="s">
        <v>99</v>
      </c>
      <c r="B50" s="216"/>
      <c r="C50" s="216"/>
      <c r="D50" s="217"/>
      <c r="E50" s="309">
        <v>4</v>
      </c>
      <c r="F50" s="23"/>
      <c r="G50" s="317">
        <f>G34</f>
        <v>0</v>
      </c>
      <c r="H50" s="24"/>
      <c r="I50" s="321">
        <v>0</v>
      </c>
    </row>
    <row r="51" spans="1:9" ht="13.5" customHeight="1" thickBot="1" x14ac:dyDescent="0.3">
      <c r="A51" s="218" t="s">
        <v>100</v>
      </c>
      <c r="B51" s="219"/>
      <c r="C51" s="219"/>
      <c r="D51" s="220"/>
      <c r="E51" s="310"/>
      <c r="F51" s="25"/>
      <c r="G51" s="318"/>
      <c r="H51" s="26"/>
      <c r="I51" s="322"/>
    </row>
    <row r="52" spans="1:9" ht="5.0999999999999996" customHeight="1" thickBot="1" x14ac:dyDescent="0.3">
      <c r="A52" s="213"/>
      <c r="B52" s="214"/>
      <c r="C52" s="214"/>
      <c r="D52" s="52"/>
      <c r="E52" s="18"/>
      <c r="G52" s="20"/>
      <c r="H52" s="21"/>
      <c r="I52" s="22"/>
    </row>
    <row r="53" spans="1:9" ht="13.5" customHeight="1" x14ac:dyDescent="0.25">
      <c r="A53" s="222" t="s">
        <v>101</v>
      </c>
      <c r="B53" s="223"/>
      <c r="C53" s="224"/>
      <c r="D53" s="224"/>
      <c r="E53" s="311">
        <v>5</v>
      </c>
      <c r="F53" s="27"/>
      <c r="G53" s="317">
        <f>+G48-G50</f>
        <v>0</v>
      </c>
      <c r="H53" s="24"/>
      <c r="I53" s="321">
        <f>+I48-I50</f>
        <v>0</v>
      </c>
    </row>
    <row r="54" spans="1:9" ht="13.8" thickBot="1" x14ac:dyDescent="0.3">
      <c r="A54" s="225" t="s">
        <v>102</v>
      </c>
      <c r="B54" s="226"/>
      <c r="C54" s="227"/>
      <c r="D54" s="227"/>
      <c r="E54" s="312"/>
      <c r="F54" s="28"/>
      <c r="G54" s="318"/>
      <c r="H54" s="26"/>
      <c r="I54" s="322"/>
    </row>
    <row r="55" spans="1:9" ht="5.0999999999999996" customHeight="1" thickBot="1" x14ac:dyDescent="0.3">
      <c r="A55" s="52"/>
      <c r="B55" s="52"/>
      <c r="C55" s="52"/>
      <c r="D55" s="52"/>
      <c r="E55" s="29"/>
      <c r="G55" s="30"/>
      <c r="H55" s="19"/>
      <c r="I55" s="31"/>
    </row>
    <row r="56" spans="1:9" ht="13.5" customHeight="1" x14ac:dyDescent="0.25">
      <c r="A56" s="215" t="s">
        <v>103</v>
      </c>
      <c r="B56" s="228"/>
      <c r="C56" s="228"/>
      <c r="D56" s="217"/>
      <c r="E56" s="309">
        <v>6</v>
      </c>
      <c r="F56" s="23"/>
      <c r="G56" s="325">
        <f>+E16</f>
        <v>0</v>
      </c>
      <c r="H56" s="32"/>
      <c r="I56" s="315">
        <f>+I19</f>
        <v>0</v>
      </c>
    </row>
    <row r="57" spans="1:9" ht="13.8" thickBot="1" x14ac:dyDescent="0.3">
      <c r="A57" s="218" t="s">
        <v>104</v>
      </c>
      <c r="B57" s="229"/>
      <c r="C57" s="229"/>
      <c r="D57" s="220"/>
      <c r="E57" s="310"/>
      <c r="F57" s="25"/>
      <c r="G57" s="326"/>
      <c r="H57" s="33"/>
      <c r="I57" s="316"/>
    </row>
    <row r="58" spans="1:9" ht="5.0999999999999996" customHeight="1" thickBot="1" x14ac:dyDescent="0.3">
      <c r="A58" s="213"/>
      <c r="B58" s="230"/>
      <c r="C58" s="230"/>
      <c r="D58" s="52"/>
      <c r="E58" s="18"/>
      <c r="G58" s="34"/>
      <c r="H58" s="35"/>
      <c r="I58" s="36"/>
    </row>
    <row r="59" spans="1:9" ht="13.5" customHeight="1" x14ac:dyDescent="0.25">
      <c r="A59" s="215" t="s">
        <v>105</v>
      </c>
      <c r="B59" s="228"/>
      <c r="C59" s="228"/>
      <c r="D59" s="217"/>
      <c r="E59" s="309">
        <v>7</v>
      </c>
      <c r="F59" s="23"/>
      <c r="G59" s="325">
        <f>SUM(G50/20%)</f>
        <v>0</v>
      </c>
      <c r="H59" s="32"/>
      <c r="I59" s="315">
        <f>SUM(I50/20%)</f>
        <v>0</v>
      </c>
    </row>
    <row r="60" spans="1:9" ht="13.8" thickBot="1" x14ac:dyDescent="0.3">
      <c r="A60" s="218" t="s">
        <v>119</v>
      </c>
      <c r="B60" s="229"/>
      <c r="C60" s="229"/>
      <c r="D60" s="220"/>
      <c r="E60" s="310"/>
      <c r="F60" s="37"/>
      <c r="G60" s="326"/>
      <c r="H60" s="33"/>
      <c r="I60" s="316"/>
    </row>
    <row r="61" spans="1:9" ht="5.0999999999999996" customHeight="1" thickBot="1" x14ac:dyDescent="0.3">
      <c r="A61" s="213"/>
      <c r="B61" s="230"/>
      <c r="C61" s="230"/>
      <c r="D61" s="52"/>
      <c r="E61" s="18"/>
      <c r="F61" s="28"/>
      <c r="G61" s="34"/>
      <c r="H61" s="35"/>
      <c r="I61" s="36"/>
    </row>
    <row r="62" spans="1:9" ht="13.5" customHeight="1" x14ac:dyDescent="0.25">
      <c r="A62" s="215" t="s">
        <v>108</v>
      </c>
      <c r="B62" s="228"/>
      <c r="C62" s="228"/>
      <c r="D62" s="217"/>
      <c r="E62" s="309">
        <v>8</v>
      </c>
      <c r="F62" s="23"/>
      <c r="G62" s="313" t="s">
        <v>118</v>
      </c>
      <c r="H62" s="32"/>
      <c r="I62" s="315" t="s">
        <v>118</v>
      </c>
    </row>
    <row r="63" spans="1:9" ht="13.8" thickBot="1" x14ac:dyDescent="0.3">
      <c r="A63" s="218" t="s">
        <v>107</v>
      </c>
      <c r="B63" s="229"/>
      <c r="C63" s="229"/>
      <c r="D63" s="220"/>
      <c r="E63" s="310"/>
      <c r="F63" s="25"/>
      <c r="G63" s="314"/>
      <c r="H63" s="33"/>
      <c r="I63" s="316"/>
    </row>
    <row r="64" spans="1:9" ht="5.0999999999999996" customHeight="1" thickBot="1" x14ac:dyDescent="0.3">
      <c r="A64" s="213"/>
      <c r="B64" s="230"/>
      <c r="C64" s="230"/>
      <c r="D64" s="52"/>
      <c r="E64" s="18"/>
      <c r="G64" s="34"/>
      <c r="H64" s="35"/>
      <c r="I64" s="36"/>
    </row>
    <row r="65" spans="1:9" ht="13.5" customHeight="1" x14ac:dyDescent="0.25">
      <c r="A65" s="215" t="s">
        <v>109</v>
      </c>
      <c r="B65" s="228"/>
      <c r="C65" s="228"/>
      <c r="D65" s="217"/>
      <c r="E65" s="309">
        <v>9</v>
      </c>
      <c r="F65" s="23"/>
      <c r="G65" s="325" t="s">
        <v>118</v>
      </c>
      <c r="H65" s="32"/>
      <c r="I65" s="315" t="s">
        <v>118</v>
      </c>
    </row>
    <row r="66" spans="1:9" ht="13.8" thickBot="1" x14ac:dyDescent="0.3">
      <c r="A66" s="231" t="s">
        <v>106</v>
      </c>
      <c r="B66" s="229"/>
      <c r="C66" s="229"/>
      <c r="D66" s="220"/>
      <c r="E66" s="310"/>
      <c r="F66" s="25"/>
      <c r="G66" s="327"/>
      <c r="H66" s="38"/>
      <c r="I66" s="324"/>
    </row>
  </sheetData>
  <customSheetViews>
    <customSheetView guid="{93A5533C-1BF0-4CFD-B527-DBAD1AD08F71}" fitToPage="1" showRuler="0">
      <pageMargins left="0.59055118110236227" right="0.15748031496062992" top="0.59055118110236227" bottom="0.59055118110236227" header="0.31496062992125984" footer="0.31496062992125984"/>
      <printOptions horizontalCentered="1"/>
      <pageSetup paperSize="9" scale="93" orientation="portrait" r:id="rId1"/>
      <headerFooter alignWithMargins="0">
        <oddHeader>&amp;C&amp;A</oddHeader>
        <oddFooter>&amp;L&amp;8&amp;F&amp;C&amp;8Page &amp;P&amp;R&amp;8&amp;D</oddFooter>
      </headerFooter>
    </customSheetView>
  </customSheetViews>
  <mergeCells count="21">
    <mergeCell ref="E65:E66"/>
    <mergeCell ref="G56:G57"/>
    <mergeCell ref="G65:G66"/>
    <mergeCell ref="I56:I57"/>
    <mergeCell ref="G53:G54"/>
    <mergeCell ref="E62:E63"/>
    <mergeCell ref="I65:I66"/>
    <mergeCell ref="I59:I60"/>
    <mergeCell ref="G62:G63"/>
    <mergeCell ref="G59:G60"/>
    <mergeCell ref="I62:I63"/>
    <mergeCell ref="G45:G46"/>
    <mergeCell ref="I50:I51"/>
    <mergeCell ref="I53:I54"/>
    <mergeCell ref="I45:I46"/>
    <mergeCell ref="G50:G51"/>
    <mergeCell ref="E45:E46"/>
    <mergeCell ref="E50:E51"/>
    <mergeCell ref="E53:E54"/>
    <mergeCell ref="E56:E57"/>
    <mergeCell ref="E59:E60"/>
  </mergeCells>
  <phoneticPr fontId="0" type="noConversion"/>
  <printOptions horizontalCentered="1"/>
  <pageMargins left="0.59055118110236227" right="0.15748031496062992" top="0.59055118110236227" bottom="0.59055118110236227" header="0.31496062992125984" footer="0.31496062992125984"/>
  <pageSetup paperSize="9" scale="93" orientation="portrait" r:id="rId2"/>
  <headerFooter alignWithMargins="0">
    <oddHeader>&amp;CVAT Summary - &amp;A</oddHeader>
    <oddFooter>&amp;L&amp;8&amp;Z&amp;F\&amp;A&amp;C&amp;8Page &amp;P&amp;R&amp;8&amp;D  &amp;T</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M72"/>
  <sheetViews>
    <sheetView showZeros="0" workbookViewId="0">
      <selection activeCell="B8" sqref="B8"/>
    </sheetView>
  </sheetViews>
  <sheetFormatPr defaultColWidth="9.109375" defaultRowHeight="13.2" x14ac:dyDescent="0.25"/>
  <cols>
    <col min="1" max="1" width="7.44140625" style="66" customWidth="1"/>
    <col min="2" max="2" width="11.5546875" style="66" customWidth="1"/>
    <col min="3" max="3" width="10.5546875" style="66" customWidth="1"/>
    <col min="4" max="4" width="11.88671875" style="66" bestFit="1" customWidth="1"/>
    <col min="5" max="5" width="9.88671875" style="66" customWidth="1"/>
    <col min="6" max="6" width="11" style="66" bestFit="1" customWidth="1"/>
    <col min="7" max="8" width="10.6640625" style="66" bestFit="1" customWidth="1"/>
    <col min="9" max="9" width="9.33203125" style="66" customWidth="1"/>
    <col min="10" max="10" width="8.109375" style="66" bestFit="1" customWidth="1"/>
    <col min="11" max="11" width="9.109375" style="66"/>
    <col min="12" max="12" width="10.109375" style="66" bestFit="1" customWidth="1"/>
    <col min="13" max="13" width="9.5546875" style="66" bestFit="1" customWidth="1"/>
    <col min="14" max="16384" width="9.109375" style="66"/>
  </cols>
  <sheetData>
    <row r="1" spans="1:13" ht="16.2" thickBot="1" x14ac:dyDescent="0.3">
      <c r="A1" s="63" t="str">
        <f>'Company Info'!B5</f>
        <v>ABC Limited</v>
      </c>
      <c r="B1" s="64"/>
      <c r="C1" s="64"/>
      <c r="D1" s="65"/>
      <c r="E1" s="63" t="s">
        <v>55</v>
      </c>
      <c r="F1" s="64"/>
      <c r="G1" s="65"/>
    </row>
    <row r="2" spans="1:13" ht="15.6" x14ac:dyDescent="0.25">
      <c r="A2" s="138"/>
      <c r="B2" s="118"/>
      <c r="C2" s="118"/>
      <c r="D2" s="118"/>
      <c r="E2" s="138"/>
      <c r="F2" s="118"/>
      <c r="G2" s="118"/>
    </row>
    <row r="3" spans="1:13" ht="13.8" thickBot="1" x14ac:dyDescent="0.3"/>
    <row r="4" spans="1:13" ht="16.2" thickBot="1" x14ac:dyDescent="0.3">
      <c r="A4" s="139" t="s">
        <v>9</v>
      </c>
      <c r="B4" s="117"/>
      <c r="C4" s="61"/>
      <c r="D4" s="68"/>
      <c r="E4" s="68"/>
      <c r="F4" s="68"/>
      <c r="G4" s="68"/>
      <c r="H4" s="68"/>
      <c r="I4" s="68"/>
      <c r="J4" s="68"/>
      <c r="K4" s="68"/>
      <c r="L4" s="69" t="s">
        <v>69</v>
      </c>
      <c r="M4" s="140">
        <f>'Company Info'!B7</f>
        <v>40999</v>
      </c>
    </row>
    <row r="5" spans="1:13" ht="13.8" thickBot="1" x14ac:dyDescent="0.3">
      <c r="A5" s="102"/>
      <c r="B5" s="93"/>
      <c r="C5" s="93"/>
      <c r="D5" s="93"/>
      <c r="E5" s="93"/>
      <c r="F5" s="93"/>
      <c r="G5" s="93"/>
      <c r="H5" s="93"/>
      <c r="I5" s="93"/>
      <c r="J5" s="93"/>
      <c r="K5" s="93"/>
      <c r="L5" s="93"/>
      <c r="M5" s="103"/>
    </row>
    <row r="6" spans="1:13" s="142" customFormat="1" ht="26.25" customHeight="1" thickBot="1" x14ac:dyDescent="0.3">
      <c r="A6" s="74" t="s">
        <v>56</v>
      </c>
      <c r="B6" s="75" t="s">
        <v>13</v>
      </c>
      <c r="C6" s="75" t="str">
        <f>'Month 12'!E5</f>
        <v>Net Sales</v>
      </c>
      <c r="D6" s="75" t="str">
        <f>'Month 12'!F5</f>
        <v>Expenses Reimbursed</v>
      </c>
      <c r="E6" s="75" t="str">
        <f>'Month 12'!G5</f>
        <v>VAT</v>
      </c>
      <c r="F6" s="75" t="str">
        <f>'Month 12'!H5</f>
        <v>Interest Received</v>
      </c>
      <c r="G6" s="75" t="str">
        <f>'Month 12'!I5</f>
        <v>Tax Refunds</v>
      </c>
      <c r="H6" s="75" t="str">
        <f>'Month 12'!J5</f>
        <v>Company Dep A/C</v>
      </c>
      <c r="I6" s="75">
        <f>'Month 12'!K5</f>
        <v>0</v>
      </c>
      <c r="J6" s="75">
        <f>'Month 12'!L5</f>
        <v>0</v>
      </c>
      <c r="K6" s="75">
        <f>'Month 12'!M5</f>
        <v>0</v>
      </c>
      <c r="L6" s="75">
        <f>'Month 12'!N5</f>
        <v>0</v>
      </c>
      <c r="M6" s="141" t="str">
        <f>'Month 12'!O5</f>
        <v>Sundries</v>
      </c>
    </row>
    <row r="7" spans="1:13" ht="12.75" customHeight="1" x14ac:dyDescent="0.25">
      <c r="A7" s="143"/>
      <c r="B7" s="83">
        <f>SUM(C7:M7)</f>
        <v>0</v>
      </c>
      <c r="C7" s="144"/>
      <c r="D7" s="144"/>
      <c r="E7" s="144"/>
      <c r="F7" s="144"/>
      <c r="G7" s="93"/>
      <c r="H7" s="93"/>
      <c r="I7" s="93"/>
      <c r="J7" s="93"/>
      <c r="K7" s="93"/>
      <c r="L7" s="144"/>
      <c r="M7" s="145"/>
    </row>
    <row r="8" spans="1:13" x14ac:dyDescent="0.25">
      <c r="A8" s="146">
        <f>'Month 1'!O3</f>
        <v>40658</v>
      </c>
      <c r="B8" s="114">
        <f>'Month 1'!D19</f>
        <v>0</v>
      </c>
      <c r="C8" s="114">
        <f>'Month 1'!E19</f>
        <v>0</v>
      </c>
      <c r="D8" s="114">
        <f>'Month 1'!F19</f>
        <v>0</v>
      </c>
      <c r="E8" s="114">
        <f>'Month 1'!G19</f>
        <v>0</v>
      </c>
      <c r="F8" s="114">
        <f>'Month 1'!H19</f>
        <v>0</v>
      </c>
      <c r="G8" s="114">
        <f>'Month 1'!I19</f>
        <v>0</v>
      </c>
      <c r="H8" s="114">
        <f>'Month 1'!J19</f>
        <v>0</v>
      </c>
      <c r="I8" s="114">
        <f>'Month 1'!K19</f>
        <v>0</v>
      </c>
      <c r="J8" s="114">
        <f>'Month 1'!L19</f>
        <v>0</v>
      </c>
      <c r="K8" s="114">
        <f>'Month 1'!M19</f>
        <v>0</v>
      </c>
      <c r="L8" s="114">
        <f>'Month 1'!N19</f>
        <v>0</v>
      </c>
      <c r="M8" s="147">
        <f>'Month 1'!O19</f>
        <v>0</v>
      </c>
    </row>
    <row r="9" spans="1:13" x14ac:dyDescent="0.25">
      <c r="A9" s="146">
        <f>'Month 2'!O3</f>
        <v>40689</v>
      </c>
      <c r="B9" s="114">
        <f>'Month 2'!D19</f>
        <v>0</v>
      </c>
      <c r="C9" s="114">
        <f>'Month 2'!E19</f>
        <v>0</v>
      </c>
      <c r="D9" s="114">
        <f>'Month 2'!F19</f>
        <v>0</v>
      </c>
      <c r="E9" s="114">
        <f>'Month 2'!G19</f>
        <v>0</v>
      </c>
      <c r="F9" s="114">
        <f>'Month 2'!H19</f>
        <v>0</v>
      </c>
      <c r="G9" s="114">
        <f>'Month 2'!I19</f>
        <v>0</v>
      </c>
      <c r="H9" s="114">
        <f>'Month 2'!J19</f>
        <v>0</v>
      </c>
      <c r="I9" s="114">
        <f>'Month 2'!K19</f>
        <v>0</v>
      </c>
      <c r="J9" s="114">
        <f>'Month 2'!L19</f>
        <v>0</v>
      </c>
      <c r="K9" s="114">
        <f>'Month 2'!M19</f>
        <v>0</v>
      </c>
      <c r="L9" s="114">
        <f>'Month 2'!N19</f>
        <v>0</v>
      </c>
      <c r="M9" s="147">
        <f>'Month 2'!O19</f>
        <v>0</v>
      </c>
    </row>
    <row r="10" spans="1:13" x14ac:dyDescent="0.25">
      <c r="A10" s="146">
        <f>'Month 3'!O3</f>
        <v>40720</v>
      </c>
      <c r="B10" s="114">
        <f>'Month 3'!D19</f>
        <v>0</v>
      </c>
      <c r="C10" s="114">
        <f>'Month 3'!E19</f>
        <v>0</v>
      </c>
      <c r="D10" s="114">
        <f>'Month 3'!F19</f>
        <v>0</v>
      </c>
      <c r="E10" s="114">
        <f>'Month 3'!G19</f>
        <v>0</v>
      </c>
      <c r="F10" s="114">
        <f>'Month 3'!H19</f>
        <v>0</v>
      </c>
      <c r="G10" s="114">
        <f>'Month 3'!I19</f>
        <v>0</v>
      </c>
      <c r="H10" s="114">
        <f>'Month 3'!J19</f>
        <v>0</v>
      </c>
      <c r="I10" s="114">
        <f>'Month 3'!K19</f>
        <v>0</v>
      </c>
      <c r="J10" s="114">
        <f>'Month 3'!L19</f>
        <v>0</v>
      </c>
      <c r="K10" s="114">
        <f>'Month 3'!M19</f>
        <v>0</v>
      </c>
      <c r="L10" s="114">
        <f>'Month 3'!N19</f>
        <v>0</v>
      </c>
      <c r="M10" s="147">
        <f>'Month 3'!O19</f>
        <v>0</v>
      </c>
    </row>
    <row r="11" spans="1:13" x14ac:dyDescent="0.25">
      <c r="A11" s="146">
        <f>'Month 4'!O3</f>
        <v>40751</v>
      </c>
      <c r="B11" s="114">
        <f>'Month 4'!D19</f>
        <v>0</v>
      </c>
      <c r="C11" s="114">
        <f>'Month 4'!E19</f>
        <v>0</v>
      </c>
      <c r="D11" s="114">
        <f>'Month 4'!F19</f>
        <v>0</v>
      </c>
      <c r="E11" s="114">
        <f>'Month 4'!G19</f>
        <v>0</v>
      </c>
      <c r="F11" s="114">
        <f>'Month 4'!H19</f>
        <v>0</v>
      </c>
      <c r="G11" s="114">
        <f>'Month 4'!I19</f>
        <v>0</v>
      </c>
      <c r="H11" s="114">
        <f>'Month 4'!J19</f>
        <v>0</v>
      </c>
      <c r="I11" s="114">
        <f>'Month 4'!K19</f>
        <v>0</v>
      </c>
      <c r="J11" s="114">
        <f>'Month 4'!L19</f>
        <v>0</v>
      </c>
      <c r="K11" s="114">
        <f>'Month 4'!M19</f>
        <v>0</v>
      </c>
      <c r="L11" s="114">
        <f>'Month 4'!N19</f>
        <v>0</v>
      </c>
      <c r="M11" s="147">
        <f>'Month 4'!O19</f>
        <v>0</v>
      </c>
    </row>
    <row r="12" spans="1:13" x14ac:dyDescent="0.25">
      <c r="A12" s="146">
        <f>'Month 5'!O3</f>
        <v>40782</v>
      </c>
      <c r="B12" s="114">
        <f>'Month 5'!D19</f>
        <v>0</v>
      </c>
      <c r="C12" s="114">
        <f>'Month 5'!E19</f>
        <v>0</v>
      </c>
      <c r="D12" s="114">
        <f>'Month 5'!F19</f>
        <v>0</v>
      </c>
      <c r="E12" s="114">
        <f>'Month 5'!G19</f>
        <v>0</v>
      </c>
      <c r="F12" s="114">
        <f>'Month 5'!H19</f>
        <v>0</v>
      </c>
      <c r="G12" s="114">
        <f>'Month 5'!I19</f>
        <v>0</v>
      </c>
      <c r="H12" s="114">
        <f>'Month 5'!J19</f>
        <v>0</v>
      </c>
      <c r="I12" s="114">
        <f>'Month 5'!K19</f>
        <v>0</v>
      </c>
      <c r="J12" s="114">
        <f>'Month 5'!L19</f>
        <v>0</v>
      </c>
      <c r="K12" s="114">
        <f>'Month 5'!M19</f>
        <v>0</v>
      </c>
      <c r="L12" s="114">
        <f>'Month 5'!N19</f>
        <v>0</v>
      </c>
      <c r="M12" s="147">
        <f>'Month 5'!O19</f>
        <v>0</v>
      </c>
    </row>
    <row r="13" spans="1:13" x14ac:dyDescent="0.25">
      <c r="A13" s="146">
        <f>'Month 6'!O3</f>
        <v>40813</v>
      </c>
      <c r="B13" s="114">
        <f>'Month 6'!D19</f>
        <v>0</v>
      </c>
      <c r="C13" s="114">
        <f>'Month 6'!E19</f>
        <v>0</v>
      </c>
      <c r="D13" s="114">
        <f>'Month 6'!F19</f>
        <v>0</v>
      </c>
      <c r="E13" s="114">
        <f>'Month 6'!G19</f>
        <v>0</v>
      </c>
      <c r="F13" s="114">
        <f>'Month 6'!H19</f>
        <v>0</v>
      </c>
      <c r="G13" s="114">
        <f>'Month 6'!I19</f>
        <v>0</v>
      </c>
      <c r="H13" s="114">
        <f>'Month 6'!J19</f>
        <v>0</v>
      </c>
      <c r="I13" s="114">
        <f>'Month 6'!K19</f>
        <v>0</v>
      </c>
      <c r="J13" s="114">
        <f>'Month 6'!L19</f>
        <v>0</v>
      </c>
      <c r="K13" s="114">
        <f>'Month 6'!M19</f>
        <v>0</v>
      </c>
      <c r="L13" s="114">
        <f>'Month 6'!N19</f>
        <v>0</v>
      </c>
      <c r="M13" s="147">
        <f>'Month 6'!O19</f>
        <v>0</v>
      </c>
    </row>
    <row r="14" spans="1:13" x14ac:dyDescent="0.25">
      <c r="A14" s="146">
        <f>'Month 7'!O3</f>
        <v>40844</v>
      </c>
      <c r="B14" s="114">
        <f>'Month 7'!D19</f>
        <v>0</v>
      </c>
      <c r="C14" s="114">
        <f>'Month 7'!E19</f>
        <v>0</v>
      </c>
      <c r="D14" s="114">
        <f>'Month 7'!F19</f>
        <v>0</v>
      </c>
      <c r="E14" s="114">
        <f>'Month 7'!G19</f>
        <v>0</v>
      </c>
      <c r="F14" s="114">
        <f>'Month 7'!H19</f>
        <v>0</v>
      </c>
      <c r="G14" s="114">
        <f>'Month 7'!I19</f>
        <v>0</v>
      </c>
      <c r="H14" s="114">
        <f>'Month 7'!J19</f>
        <v>0</v>
      </c>
      <c r="I14" s="114">
        <f>'Month 7'!K19</f>
        <v>0</v>
      </c>
      <c r="J14" s="114">
        <f>'Month 7'!L19</f>
        <v>0</v>
      </c>
      <c r="K14" s="114">
        <f>'Month 7'!M19</f>
        <v>0</v>
      </c>
      <c r="L14" s="114">
        <f>'Month 7'!N19</f>
        <v>0</v>
      </c>
      <c r="M14" s="147">
        <f>'Month 7'!O19</f>
        <v>0</v>
      </c>
    </row>
    <row r="15" spans="1:13" x14ac:dyDescent="0.25">
      <c r="A15" s="146">
        <f>'Month 8'!O3</f>
        <v>40875</v>
      </c>
      <c r="B15" s="114">
        <f>'Month 8'!D19</f>
        <v>0</v>
      </c>
      <c r="C15" s="114">
        <f>'Month 8'!E19</f>
        <v>0</v>
      </c>
      <c r="D15" s="114">
        <f>'Month 8'!F19</f>
        <v>0</v>
      </c>
      <c r="E15" s="114">
        <f>'Month 8'!G19</f>
        <v>0</v>
      </c>
      <c r="F15" s="114">
        <f>'Month 8'!H19</f>
        <v>0</v>
      </c>
      <c r="G15" s="114">
        <f>'Month 8'!I19</f>
        <v>0</v>
      </c>
      <c r="H15" s="114">
        <f>'Month 8'!J19</f>
        <v>0</v>
      </c>
      <c r="I15" s="114">
        <f>'Month 8'!K19</f>
        <v>0</v>
      </c>
      <c r="J15" s="114">
        <f>'Month 8'!L19</f>
        <v>0</v>
      </c>
      <c r="K15" s="114">
        <f>'Month 8'!M19</f>
        <v>0</v>
      </c>
      <c r="L15" s="114">
        <f>'Month 8'!N19</f>
        <v>0</v>
      </c>
      <c r="M15" s="147">
        <f>'Month 8'!O19</f>
        <v>0</v>
      </c>
    </row>
    <row r="16" spans="1:13" x14ac:dyDescent="0.25">
      <c r="A16" s="146">
        <f>'Month 9'!O3</f>
        <v>40906</v>
      </c>
      <c r="B16" s="114">
        <f>'Month 9'!D19</f>
        <v>0</v>
      </c>
      <c r="C16" s="114">
        <f>'Month 9'!E19</f>
        <v>0</v>
      </c>
      <c r="D16" s="114">
        <f>'Month 9'!F19</f>
        <v>0</v>
      </c>
      <c r="E16" s="114">
        <f>'Month 9'!G19</f>
        <v>0</v>
      </c>
      <c r="F16" s="114">
        <f>'Month 9'!H19</f>
        <v>0</v>
      </c>
      <c r="G16" s="114">
        <f>'Month 9'!I19</f>
        <v>0</v>
      </c>
      <c r="H16" s="114">
        <f>'Month 9'!J19</f>
        <v>0</v>
      </c>
      <c r="I16" s="114">
        <f>'Month 9'!K19</f>
        <v>0</v>
      </c>
      <c r="J16" s="114">
        <f>'Month 9'!L19</f>
        <v>0</v>
      </c>
      <c r="K16" s="114">
        <f>'Month 9'!M19</f>
        <v>0</v>
      </c>
      <c r="L16" s="114">
        <f>'Month 9'!N19</f>
        <v>0</v>
      </c>
      <c r="M16" s="147">
        <f>'Month 9'!O19</f>
        <v>0</v>
      </c>
    </row>
    <row r="17" spans="1:13" x14ac:dyDescent="0.25">
      <c r="A17" s="146">
        <f>'Month 10'!O3</f>
        <v>40937</v>
      </c>
      <c r="B17" s="114">
        <f>'Month 10'!D19</f>
        <v>0</v>
      </c>
      <c r="C17" s="114">
        <f>'Month 10'!E19</f>
        <v>0</v>
      </c>
      <c r="D17" s="114">
        <f>'Month 10'!F19</f>
        <v>0</v>
      </c>
      <c r="E17" s="114">
        <f>'Month 10'!G19</f>
        <v>0</v>
      </c>
      <c r="F17" s="114">
        <f>'Month 10'!H19</f>
        <v>0</v>
      </c>
      <c r="G17" s="114">
        <f>'Month 10'!I19</f>
        <v>0</v>
      </c>
      <c r="H17" s="114">
        <f>'Month 10'!J19</f>
        <v>0</v>
      </c>
      <c r="I17" s="114">
        <f>'Month 10'!K19</f>
        <v>0</v>
      </c>
      <c r="J17" s="114">
        <f>'Month 10'!L19</f>
        <v>0</v>
      </c>
      <c r="K17" s="114">
        <f>'Month 10'!M19</f>
        <v>0</v>
      </c>
      <c r="L17" s="114">
        <f>'Month 10'!N19</f>
        <v>0</v>
      </c>
      <c r="M17" s="147">
        <f>'Month 10'!O19</f>
        <v>0</v>
      </c>
    </row>
    <row r="18" spans="1:13" x14ac:dyDescent="0.25">
      <c r="A18" s="146">
        <f>'Month 11'!O3</f>
        <v>40968</v>
      </c>
      <c r="B18" s="114">
        <f>'Month 11'!D19</f>
        <v>0</v>
      </c>
      <c r="C18" s="114">
        <f>'Month 11'!E19</f>
        <v>0</v>
      </c>
      <c r="D18" s="114">
        <f>'Month 11'!F19</f>
        <v>0</v>
      </c>
      <c r="E18" s="114">
        <f>'Month 11'!G19</f>
        <v>0</v>
      </c>
      <c r="F18" s="114">
        <f>'Month 11'!H19</f>
        <v>0</v>
      </c>
      <c r="G18" s="114">
        <f>'Month 11'!I19</f>
        <v>0</v>
      </c>
      <c r="H18" s="114">
        <f>'Month 11'!J19</f>
        <v>0</v>
      </c>
      <c r="I18" s="114">
        <f>'Month 11'!K19</f>
        <v>0</v>
      </c>
      <c r="J18" s="114">
        <f>'Month 11'!L19</f>
        <v>0</v>
      </c>
      <c r="K18" s="114">
        <f>'Month 11'!M19</f>
        <v>0</v>
      </c>
      <c r="L18" s="114">
        <f>'Month 11'!N19</f>
        <v>0</v>
      </c>
      <c r="M18" s="147">
        <f>'Month 11'!O19</f>
        <v>0</v>
      </c>
    </row>
    <row r="19" spans="1:13" x14ac:dyDescent="0.25">
      <c r="A19" s="146">
        <f>'Month 12'!O3</f>
        <v>40999</v>
      </c>
      <c r="B19" s="114">
        <f>'Month 12'!D19</f>
        <v>0</v>
      </c>
      <c r="C19" s="114">
        <f>'Month 12'!E19</f>
        <v>0</v>
      </c>
      <c r="D19" s="114">
        <f>'Month 12'!F19</f>
        <v>0</v>
      </c>
      <c r="E19" s="114">
        <f>'Month 12'!G19</f>
        <v>0</v>
      </c>
      <c r="F19" s="114">
        <f>'Month 12'!H19</f>
        <v>0</v>
      </c>
      <c r="G19" s="114">
        <f>'Month 12'!I19</f>
        <v>0</v>
      </c>
      <c r="H19" s="114">
        <f>'Month 12'!J19</f>
        <v>0</v>
      </c>
      <c r="I19" s="114">
        <f>'Month 12'!K19</f>
        <v>0</v>
      </c>
      <c r="J19" s="114">
        <f>'Month 12'!L19</f>
        <v>0</v>
      </c>
      <c r="K19" s="114">
        <f>'Month 12'!M19</f>
        <v>0</v>
      </c>
      <c r="L19" s="114">
        <f>'Month 12'!N19</f>
        <v>0</v>
      </c>
      <c r="M19" s="147">
        <f>'Month 12'!O19</f>
        <v>0</v>
      </c>
    </row>
    <row r="20" spans="1:13" x14ac:dyDescent="0.25">
      <c r="A20" s="102"/>
      <c r="B20" s="83">
        <f>SUM(C20:M20)</f>
        <v>0</v>
      </c>
      <c r="C20" s="114"/>
      <c r="D20" s="114"/>
      <c r="E20" s="114"/>
      <c r="F20" s="114"/>
      <c r="G20" s="93"/>
      <c r="H20" s="93"/>
      <c r="I20" s="93"/>
      <c r="J20" s="93"/>
      <c r="K20" s="93"/>
      <c r="L20" s="114"/>
      <c r="M20" s="103"/>
    </row>
    <row r="21" spans="1:13" ht="13.8" thickBot="1" x14ac:dyDescent="0.3">
      <c r="A21" s="148" t="s">
        <v>17</v>
      </c>
      <c r="B21" s="149">
        <f>SUM(B7:B20)</f>
        <v>0</v>
      </c>
      <c r="C21" s="150">
        <f>SUM(C7:C20)</f>
        <v>0</v>
      </c>
      <c r="D21" s="150">
        <f>SUM(D7:D20)</f>
        <v>0</v>
      </c>
      <c r="E21" s="150">
        <f>SUM(E7:E20)</f>
        <v>0</v>
      </c>
      <c r="F21" s="150">
        <f>SUM(F7:F20)</f>
        <v>0</v>
      </c>
      <c r="G21" s="150">
        <f t="shared" ref="G21:M21" si="0">SUM(G7:G20)</f>
        <v>0</v>
      </c>
      <c r="H21" s="150">
        <f t="shared" si="0"/>
        <v>0</v>
      </c>
      <c r="I21" s="150">
        <f t="shared" si="0"/>
        <v>0</v>
      </c>
      <c r="J21" s="150">
        <f t="shared" si="0"/>
        <v>0</v>
      </c>
      <c r="K21" s="150">
        <f t="shared" si="0"/>
        <v>0</v>
      </c>
      <c r="L21" s="150">
        <f t="shared" si="0"/>
        <v>0</v>
      </c>
      <c r="M21" s="151">
        <f t="shared" si="0"/>
        <v>0</v>
      </c>
    </row>
    <row r="22" spans="1:13" ht="13.8" hidden="1" thickTop="1" x14ac:dyDescent="0.25">
      <c r="A22" s="152"/>
      <c r="B22" s="153">
        <v>771</v>
      </c>
      <c r="C22" s="154" t="s">
        <v>87</v>
      </c>
      <c r="D22" s="154" t="s">
        <v>87</v>
      </c>
      <c r="E22" s="153">
        <v>846</v>
      </c>
      <c r="F22" s="153">
        <v>411</v>
      </c>
      <c r="G22" s="93"/>
      <c r="H22" s="93"/>
      <c r="I22" s="93"/>
      <c r="J22" s="93"/>
      <c r="K22" s="93"/>
      <c r="L22" s="153">
        <v>772</v>
      </c>
      <c r="M22" s="155"/>
    </row>
    <row r="23" spans="1:13" ht="14.4" hidden="1" thickTop="1" thickBot="1" x14ac:dyDescent="0.3">
      <c r="A23" s="102"/>
      <c r="B23" s="93"/>
      <c r="C23" s="93" t="s">
        <v>126</v>
      </c>
      <c r="D23" s="93"/>
      <c r="E23" s="93"/>
      <c r="F23" s="156"/>
      <c r="G23" s="93"/>
      <c r="H23" s="93"/>
      <c r="I23" s="93"/>
      <c r="J23" s="93"/>
      <c r="K23" s="93"/>
      <c r="L23" s="93"/>
      <c r="M23" s="103"/>
    </row>
    <row r="24" spans="1:13" ht="13.8" thickTop="1" x14ac:dyDescent="0.25">
      <c r="A24" s="102"/>
      <c r="B24" s="93"/>
      <c r="C24" s="93"/>
      <c r="D24" s="93"/>
      <c r="E24" s="93"/>
      <c r="F24" s="93"/>
      <c r="G24" s="93"/>
      <c r="H24" s="93"/>
      <c r="I24" s="93"/>
      <c r="J24" s="93"/>
      <c r="K24" s="93"/>
      <c r="L24" s="93"/>
      <c r="M24" s="103"/>
    </row>
    <row r="25" spans="1:13" ht="13.8" thickBot="1" x14ac:dyDescent="0.3">
      <c r="A25" s="157" t="s">
        <v>70</v>
      </c>
      <c r="B25" s="72"/>
      <c r="C25" s="98">
        <f>SUM(C21:M21)-B21</f>
        <v>0</v>
      </c>
      <c r="D25" s="158" t="s">
        <v>80</v>
      </c>
      <c r="E25" s="159" t="e">
        <f>E21/(C21+D21)</f>
        <v>#DIV/0!</v>
      </c>
      <c r="F25" s="72"/>
      <c r="G25" s="72"/>
      <c r="H25" s="72"/>
      <c r="I25" s="72"/>
      <c r="J25" s="72"/>
      <c r="K25" s="72"/>
      <c r="L25" s="72"/>
      <c r="M25" s="99"/>
    </row>
    <row r="26" spans="1:13" x14ac:dyDescent="0.25">
      <c r="D26" s="254" t="str">
        <f>IF(C25=0,"","ERROR - figures do not add across")</f>
        <v/>
      </c>
    </row>
    <row r="27" spans="1:13" ht="13.8" thickBot="1" x14ac:dyDescent="0.3"/>
    <row r="28" spans="1:13" ht="16.2" thickBot="1" x14ac:dyDescent="0.3">
      <c r="A28" s="139" t="s">
        <v>21</v>
      </c>
      <c r="B28" s="117"/>
      <c r="C28" s="61"/>
      <c r="D28" s="68"/>
      <c r="E28" s="68"/>
      <c r="F28" s="68"/>
      <c r="G28" s="68"/>
      <c r="H28" s="68"/>
      <c r="I28" s="68"/>
      <c r="J28" s="68"/>
      <c r="K28" s="68"/>
      <c r="L28" s="69" t="s">
        <v>69</v>
      </c>
      <c r="M28" s="140">
        <f>M4</f>
        <v>40999</v>
      </c>
    </row>
    <row r="29" spans="1:13" ht="13.8" thickBot="1" x14ac:dyDescent="0.3">
      <c r="A29" s="102"/>
      <c r="B29" s="93"/>
      <c r="C29" s="93"/>
      <c r="D29" s="93"/>
      <c r="E29" s="93"/>
      <c r="F29" s="93"/>
      <c r="G29" s="93"/>
      <c r="H29" s="93"/>
      <c r="I29" s="93"/>
      <c r="J29" s="93"/>
      <c r="K29" s="93"/>
      <c r="L29" s="93"/>
      <c r="M29" s="103"/>
    </row>
    <row r="30" spans="1:13" s="142" customFormat="1" ht="26.25" customHeight="1" thickBot="1" x14ac:dyDescent="0.3">
      <c r="A30" s="74" t="s">
        <v>56</v>
      </c>
      <c r="B30" s="106" t="s">
        <v>63</v>
      </c>
      <c r="C30" s="106" t="str">
        <f>'Month 12'!E26</f>
        <v>PAYE/NI</v>
      </c>
      <c r="D30" s="106" t="str">
        <f>'Month 12'!F26</f>
        <v>Net Wages</v>
      </c>
      <c r="E30" s="106" t="str">
        <f>'Month 12'!G26</f>
        <v>Dividends</v>
      </c>
      <c r="F30" s="106" t="str">
        <f>'Month 12'!H26</f>
        <v>Company Dep A/C</v>
      </c>
      <c r="G30" s="160" t="str">
        <f>'Month 12'!I26</f>
        <v>Company Pension</v>
      </c>
      <c r="H30" s="160" t="str">
        <f>'Month 12'!J26</f>
        <v>Motor &amp; Travel</v>
      </c>
      <c r="I30" s="160" t="str">
        <f>'Month 12'!K26</f>
        <v>Standing Orders</v>
      </c>
      <c r="J30" s="160" t="str">
        <f>'Month 12'!L26</f>
        <v>Petty Cash</v>
      </c>
      <c r="K30" s="106" t="str">
        <f>'Month 12'!M26</f>
        <v>HMRC</v>
      </c>
      <c r="L30" s="160" t="str">
        <f>'Month 12'!N26</f>
        <v>Sundries</v>
      </c>
      <c r="M30" s="161" t="str">
        <f>'Month 12'!O26</f>
        <v>Input   VAT</v>
      </c>
    </row>
    <row r="31" spans="1:13" ht="12.75" customHeight="1" x14ac:dyDescent="0.25">
      <c r="A31" s="143"/>
      <c r="B31" s="83">
        <f>SUM(C31:M31)</f>
        <v>0</v>
      </c>
      <c r="C31" s="162"/>
      <c r="D31" s="162"/>
      <c r="E31" s="162"/>
      <c r="F31" s="162"/>
      <c r="G31" s="163"/>
      <c r="H31" s="163"/>
      <c r="I31" s="163"/>
      <c r="J31" s="163"/>
      <c r="K31" s="162"/>
      <c r="L31" s="164"/>
      <c r="M31" s="165"/>
    </row>
    <row r="32" spans="1:13" x14ac:dyDescent="0.25">
      <c r="A32" s="146">
        <f>'Month 1'!O3</f>
        <v>40658</v>
      </c>
      <c r="B32" s="114">
        <f>'Month 1'!D42</f>
        <v>0</v>
      </c>
      <c r="C32" s="114">
        <f>'Month 1'!E42</f>
        <v>0</v>
      </c>
      <c r="D32" s="114">
        <f>'Month 1'!F42</f>
        <v>0</v>
      </c>
      <c r="E32" s="114">
        <f>'Month 1'!G42</f>
        <v>0</v>
      </c>
      <c r="F32" s="114">
        <f>'Month 1'!H42</f>
        <v>0</v>
      </c>
      <c r="G32" s="114">
        <f>'Month 1'!I42</f>
        <v>0</v>
      </c>
      <c r="H32" s="114">
        <f>'Month 1'!J42</f>
        <v>0</v>
      </c>
      <c r="I32" s="114">
        <f>'Month 1'!K42</f>
        <v>0</v>
      </c>
      <c r="J32" s="114">
        <f>'Month 1'!L42</f>
        <v>0</v>
      </c>
      <c r="K32" s="114">
        <f>'Month 1'!M42</f>
        <v>0</v>
      </c>
      <c r="L32" s="114">
        <f>'Month 1'!N42</f>
        <v>0</v>
      </c>
      <c r="M32" s="147">
        <f>'Month 1'!O42</f>
        <v>0</v>
      </c>
    </row>
    <row r="33" spans="1:13" x14ac:dyDescent="0.25">
      <c r="A33" s="146">
        <f>'Month 2'!O3</f>
        <v>40689</v>
      </c>
      <c r="B33" s="114">
        <f>'Month 2'!D42</f>
        <v>0</v>
      </c>
      <c r="C33" s="114">
        <f>'Month 2'!E42</f>
        <v>0</v>
      </c>
      <c r="D33" s="114">
        <f>'Month 2'!F42</f>
        <v>0</v>
      </c>
      <c r="E33" s="114">
        <f>'Month 2'!G42</f>
        <v>0</v>
      </c>
      <c r="F33" s="114">
        <f>'Month 2'!H42</f>
        <v>0</v>
      </c>
      <c r="G33" s="114">
        <f>'Month 2'!I42</f>
        <v>0</v>
      </c>
      <c r="H33" s="114">
        <f>'Month 2'!J42</f>
        <v>0</v>
      </c>
      <c r="I33" s="114">
        <f>'Month 2'!K42</f>
        <v>0</v>
      </c>
      <c r="J33" s="114">
        <f>'Month 2'!L42</f>
        <v>0</v>
      </c>
      <c r="K33" s="114">
        <f>'Month 2'!M42</f>
        <v>0</v>
      </c>
      <c r="L33" s="114">
        <f>'Month 2'!N42</f>
        <v>0</v>
      </c>
      <c r="M33" s="147">
        <f>'Month 2'!O42</f>
        <v>0</v>
      </c>
    </row>
    <row r="34" spans="1:13" x14ac:dyDescent="0.25">
      <c r="A34" s="146">
        <f>'Month 3'!O3</f>
        <v>40720</v>
      </c>
      <c r="B34" s="114">
        <f>'Month 3'!D42</f>
        <v>0</v>
      </c>
      <c r="C34" s="114">
        <f>'Month 3'!E42</f>
        <v>0</v>
      </c>
      <c r="D34" s="114">
        <f>'Month 3'!F42</f>
        <v>0</v>
      </c>
      <c r="E34" s="114">
        <f>'Month 3'!G42</f>
        <v>0</v>
      </c>
      <c r="F34" s="114">
        <f>'Month 3'!H42</f>
        <v>0</v>
      </c>
      <c r="G34" s="114">
        <f>'Month 3'!I42</f>
        <v>0</v>
      </c>
      <c r="H34" s="114">
        <f>'Month 3'!J42</f>
        <v>0</v>
      </c>
      <c r="I34" s="114">
        <f>'Month 3'!K42</f>
        <v>0</v>
      </c>
      <c r="J34" s="114">
        <f>'Month 3'!L42</f>
        <v>0</v>
      </c>
      <c r="K34" s="114">
        <f>'Month 3'!M42</f>
        <v>0</v>
      </c>
      <c r="L34" s="114">
        <f>'Month 3'!N42</f>
        <v>0</v>
      </c>
      <c r="M34" s="147">
        <f>'Month 3'!O42</f>
        <v>0</v>
      </c>
    </row>
    <row r="35" spans="1:13" x14ac:dyDescent="0.25">
      <c r="A35" s="146">
        <f>'Month 4'!O3</f>
        <v>40751</v>
      </c>
      <c r="B35" s="114">
        <f>'Month 4'!D42</f>
        <v>0</v>
      </c>
      <c r="C35" s="114">
        <f>'Month 4'!E42</f>
        <v>0</v>
      </c>
      <c r="D35" s="114">
        <f>'Month 4'!F42</f>
        <v>0</v>
      </c>
      <c r="E35" s="114">
        <f>'Month 4'!G42</f>
        <v>0</v>
      </c>
      <c r="F35" s="114">
        <f>'Month 4'!H42</f>
        <v>0</v>
      </c>
      <c r="G35" s="114">
        <f>'Month 4'!I42</f>
        <v>0</v>
      </c>
      <c r="H35" s="114">
        <f>'Month 4'!J42</f>
        <v>0</v>
      </c>
      <c r="I35" s="114">
        <f>'Month 4'!K42</f>
        <v>0</v>
      </c>
      <c r="J35" s="114">
        <f>'Month 4'!L42</f>
        <v>0</v>
      </c>
      <c r="K35" s="114">
        <f>'Month 4'!M42</f>
        <v>0</v>
      </c>
      <c r="L35" s="114">
        <f>'Month 4'!N42</f>
        <v>0</v>
      </c>
      <c r="M35" s="147">
        <f>'Month 4'!O42</f>
        <v>0</v>
      </c>
    </row>
    <row r="36" spans="1:13" x14ac:dyDescent="0.25">
      <c r="A36" s="146">
        <f>'Month 5'!O3</f>
        <v>40782</v>
      </c>
      <c r="B36" s="114">
        <f>'Month 5'!D42</f>
        <v>0</v>
      </c>
      <c r="C36" s="114">
        <f>'Month 5'!E42</f>
        <v>0</v>
      </c>
      <c r="D36" s="114">
        <f>'Month 5'!F42</f>
        <v>0</v>
      </c>
      <c r="E36" s="114">
        <f>'Month 5'!G42</f>
        <v>0</v>
      </c>
      <c r="F36" s="114">
        <f>'Month 5'!H42</f>
        <v>0</v>
      </c>
      <c r="G36" s="114">
        <f>'Month 5'!I42</f>
        <v>0</v>
      </c>
      <c r="H36" s="114">
        <f>'Month 5'!J42</f>
        <v>0</v>
      </c>
      <c r="I36" s="114">
        <f>'Month 5'!K42</f>
        <v>0</v>
      </c>
      <c r="J36" s="114">
        <f>'Month 5'!L42</f>
        <v>0</v>
      </c>
      <c r="K36" s="114">
        <f>'Month 5'!M42</f>
        <v>0</v>
      </c>
      <c r="L36" s="114">
        <f>'Month 5'!N42</f>
        <v>0</v>
      </c>
      <c r="M36" s="147">
        <f>'Month 5'!O42</f>
        <v>0</v>
      </c>
    </row>
    <row r="37" spans="1:13" x14ac:dyDescent="0.25">
      <c r="A37" s="146">
        <f>'Month 6'!O3</f>
        <v>40813</v>
      </c>
      <c r="B37" s="114">
        <f>'Month 6'!D42</f>
        <v>0</v>
      </c>
      <c r="C37" s="114">
        <f>'Month 6'!E42</f>
        <v>0</v>
      </c>
      <c r="D37" s="114">
        <f>'Month 6'!F42</f>
        <v>0</v>
      </c>
      <c r="E37" s="114">
        <f>'Month 6'!G42</f>
        <v>0</v>
      </c>
      <c r="F37" s="114">
        <f>'Month 6'!H42</f>
        <v>0</v>
      </c>
      <c r="G37" s="114">
        <f>'Month 6'!I42</f>
        <v>0</v>
      </c>
      <c r="H37" s="114">
        <f>'Month 6'!J42</f>
        <v>0</v>
      </c>
      <c r="I37" s="114">
        <f>'Month 6'!K42</f>
        <v>0</v>
      </c>
      <c r="J37" s="114">
        <f>'Month 6'!L42</f>
        <v>0</v>
      </c>
      <c r="K37" s="114">
        <f>'Month 6'!M42</f>
        <v>0</v>
      </c>
      <c r="L37" s="114">
        <f>'Month 6'!N42</f>
        <v>0</v>
      </c>
      <c r="M37" s="147">
        <f>'Month 6'!O42</f>
        <v>0</v>
      </c>
    </row>
    <row r="38" spans="1:13" x14ac:dyDescent="0.25">
      <c r="A38" s="146">
        <f>'Month 7'!O3</f>
        <v>40844</v>
      </c>
      <c r="B38" s="114">
        <f>'Month 7'!D42</f>
        <v>0</v>
      </c>
      <c r="C38" s="114">
        <f>'Month 7'!E42</f>
        <v>0</v>
      </c>
      <c r="D38" s="114">
        <f>'Month 7'!F42</f>
        <v>0</v>
      </c>
      <c r="E38" s="114">
        <f>'Month 7'!G42</f>
        <v>0</v>
      </c>
      <c r="F38" s="114">
        <f>'Month 7'!H42</f>
        <v>0</v>
      </c>
      <c r="G38" s="114">
        <f>'Month 7'!I42</f>
        <v>0</v>
      </c>
      <c r="H38" s="114">
        <f>'Month 7'!J42</f>
        <v>0</v>
      </c>
      <c r="I38" s="114">
        <f>'Month 7'!K42</f>
        <v>0</v>
      </c>
      <c r="J38" s="114">
        <f>'Month 7'!L42</f>
        <v>0</v>
      </c>
      <c r="K38" s="114">
        <f>'Month 7'!M42</f>
        <v>0</v>
      </c>
      <c r="L38" s="114">
        <f>'Month 7'!N42</f>
        <v>0</v>
      </c>
      <c r="M38" s="147">
        <f>'Month 7'!O42</f>
        <v>0</v>
      </c>
    </row>
    <row r="39" spans="1:13" x14ac:dyDescent="0.25">
      <c r="A39" s="146">
        <f>'Month 8'!O3</f>
        <v>40875</v>
      </c>
      <c r="B39" s="114">
        <f>'Month 8'!D42</f>
        <v>0</v>
      </c>
      <c r="C39" s="114">
        <f>'Month 8'!E42</f>
        <v>0</v>
      </c>
      <c r="D39" s="114">
        <f>'Month 8'!F42</f>
        <v>0</v>
      </c>
      <c r="E39" s="114">
        <f>'Month 8'!G42</f>
        <v>0</v>
      </c>
      <c r="F39" s="114">
        <f>'Month 8'!H42</f>
        <v>0</v>
      </c>
      <c r="G39" s="114">
        <f>'Month 8'!I42</f>
        <v>0</v>
      </c>
      <c r="H39" s="114">
        <f>'Month 8'!J42</f>
        <v>0</v>
      </c>
      <c r="I39" s="114">
        <f>'Month 8'!K42</f>
        <v>0</v>
      </c>
      <c r="J39" s="114">
        <f>'Month 8'!L42</f>
        <v>0</v>
      </c>
      <c r="K39" s="114">
        <f>'Month 8'!M42</f>
        <v>0</v>
      </c>
      <c r="L39" s="114">
        <f>'Month 8'!N42</f>
        <v>0</v>
      </c>
      <c r="M39" s="147">
        <f>'Month 8'!O42</f>
        <v>0</v>
      </c>
    </row>
    <row r="40" spans="1:13" x14ac:dyDescent="0.25">
      <c r="A40" s="146">
        <f>'Month 9'!O3</f>
        <v>40906</v>
      </c>
      <c r="B40" s="114">
        <f>'Month 9'!D42</f>
        <v>0</v>
      </c>
      <c r="C40" s="114">
        <f>'Month 9'!E42</f>
        <v>0</v>
      </c>
      <c r="D40" s="114">
        <f>'Month 9'!F42</f>
        <v>0</v>
      </c>
      <c r="E40" s="114">
        <f>'Month 9'!G42</f>
        <v>0</v>
      </c>
      <c r="F40" s="114">
        <f>'Month 9'!H42</f>
        <v>0</v>
      </c>
      <c r="G40" s="114">
        <f>'Month 9'!I42</f>
        <v>0</v>
      </c>
      <c r="H40" s="114">
        <f>'Month 9'!J42</f>
        <v>0</v>
      </c>
      <c r="I40" s="114">
        <f>'Month 9'!K42</f>
        <v>0</v>
      </c>
      <c r="J40" s="114">
        <f>'Month 9'!L42</f>
        <v>0</v>
      </c>
      <c r="K40" s="114">
        <f>'Month 9'!M42</f>
        <v>0</v>
      </c>
      <c r="L40" s="114">
        <f>'Month 9'!N42</f>
        <v>0</v>
      </c>
      <c r="M40" s="147">
        <f>'Month 9'!O42</f>
        <v>0</v>
      </c>
    </row>
    <row r="41" spans="1:13" x14ac:dyDescent="0.25">
      <c r="A41" s="146">
        <f>'Month 10'!O3</f>
        <v>40937</v>
      </c>
      <c r="B41" s="114">
        <f>'Month 10'!D42</f>
        <v>0</v>
      </c>
      <c r="C41" s="114">
        <f>'Month 10'!E42</f>
        <v>0</v>
      </c>
      <c r="D41" s="114">
        <f>'Month 10'!F42</f>
        <v>0</v>
      </c>
      <c r="E41" s="114">
        <f>'Month 10'!G42</f>
        <v>0</v>
      </c>
      <c r="F41" s="114">
        <f>'Month 10'!H42</f>
        <v>0</v>
      </c>
      <c r="G41" s="114">
        <f>'Month 10'!I42</f>
        <v>0</v>
      </c>
      <c r="H41" s="114">
        <f>'Month 10'!J42</f>
        <v>0</v>
      </c>
      <c r="I41" s="114">
        <f>'Month 10'!K42</f>
        <v>0</v>
      </c>
      <c r="J41" s="114">
        <f>'Month 10'!L42</f>
        <v>0</v>
      </c>
      <c r="K41" s="114">
        <f>'Month 10'!M42</f>
        <v>0</v>
      </c>
      <c r="L41" s="114">
        <f>'Month 10'!N42</f>
        <v>0</v>
      </c>
      <c r="M41" s="147">
        <f>'Month 10'!O42</f>
        <v>0</v>
      </c>
    </row>
    <row r="42" spans="1:13" x14ac:dyDescent="0.25">
      <c r="A42" s="146">
        <f>'Month 11'!O3</f>
        <v>40968</v>
      </c>
      <c r="B42" s="114">
        <f>'Month 11'!D42</f>
        <v>0</v>
      </c>
      <c r="C42" s="114">
        <f>'Month 11'!E42</f>
        <v>0</v>
      </c>
      <c r="D42" s="114">
        <f>'Month 11'!F42</f>
        <v>0</v>
      </c>
      <c r="E42" s="114">
        <f>'Month 11'!G42</f>
        <v>0</v>
      </c>
      <c r="F42" s="114">
        <f>'Month 11'!H42</f>
        <v>0</v>
      </c>
      <c r="G42" s="114">
        <f>'Month 11'!I42</f>
        <v>0</v>
      </c>
      <c r="H42" s="114">
        <f>'Month 11'!J42</f>
        <v>0</v>
      </c>
      <c r="I42" s="114">
        <f>'Month 11'!K42</f>
        <v>0</v>
      </c>
      <c r="J42" s="114">
        <f>'Month 11'!L42</f>
        <v>0</v>
      </c>
      <c r="K42" s="114">
        <f>'Month 11'!M42</f>
        <v>0</v>
      </c>
      <c r="L42" s="114">
        <f>'Month 11'!N42</f>
        <v>0</v>
      </c>
      <c r="M42" s="147">
        <f>'Month 11'!O42</f>
        <v>0</v>
      </c>
    </row>
    <row r="43" spans="1:13" x14ac:dyDescent="0.25">
      <c r="A43" s="146">
        <f>'Month 12'!O3</f>
        <v>40999</v>
      </c>
      <c r="B43" s="114">
        <f>'Month 12'!D42</f>
        <v>0</v>
      </c>
      <c r="C43" s="114">
        <f>'Month 12'!E42</f>
        <v>0</v>
      </c>
      <c r="D43" s="114">
        <f>'Month 12'!F42</f>
        <v>0</v>
      </c>
      <c r="E43" s="114">
        <f>'Month 12'!G42</f>
        <v>0</v>
      </c>
      <c r="F43" s="114">
        <f>'Month 12'!H42</f>
        <v>0</v>
      </c>
      <c r="G43" s="114">
        <f>'Month 12'!I42</f>
        <v>0</v>
      </c>
      <c r="H43" s="114">
        <f>'Month 12'!J42</f>
        <v>0</v>
      </c>
      <c r="I43" s="114">
        <f>'Month 12'!K42</f>
        <v>0</v>
      </c>
      <c r="J43" s="114">
        <f>'Month 12'!L42</f>
        <v>0</v>
      </c>
      <c r="K43" s="114">
        <f>'Month 12'!M42</f>
        <v>0</v>
      </c>
      <c r="L43" s="114">
        <f>'Month 12'!N42</f>
        <v>0</v>
      </c>
      <c r="M43" s="147">
        <f>'Month 12'!O42</f>
        <v>0</v>
      </c>
    </row>
    <row r="44" spans="1:13" x14ac:dyDescent="0.25">
      <c r="A44" s="102"/>
      <c r="B44" s="83">
        <f>SUM(C44:M44)</f>
        <v>0</v>
      </c>
      <c r="C44" s="114"/>
      <c r="D44" s="114"/>
      <c r="E44" s="114"/>
      <c r="F44" s="114"/>
      <c r="G44" s="114"/>
      <c r="H44" s="114"/>
      <c r="I44" s="114"/>
      <c r="J44" s="114"/>
      <c r="K44" s="114"/>
      <c r="L44" s="114"/>
      <c r="M44" s="147"/>
    </row>
    <row r="45" spans="1:13" ht="13.8" thickBot="1" x14ac:dyDescent="0.3">
      <c r="A45" s="148" t="s">
        <v>17</v>
      </c>
      <c r="B45" s="149">
        <f>SUM(B31:B44)</f>
        <v>0</v>
      </c>
      <c r="C45" s="150">
        <f>SUM(C31:C44)</f>
        <v>0</v>
      </c>
      <c r="D45" s="150">
        <f t="shared" ref="D45:L45" si="1">SUM(D31:D44)</f>
        <v>0</v>
      </c>
      <c r="E45" s="150">
        <f t="shared" si="1"/>
        <v>0</v>
      </c>
      <c r="F45" s="150">
        <f t="shared" si="1"/>
        <v>0</v>
      </c>
      <c r="G45" s="150">
        <f t="shared" si="1"/>
        <v>0</v>
      </c>
      <c r="H45" s="150">
        <f t="shared" si="1"/>
        <v>0</v>
      </c>
      <c r="I45" s="150">
        <f t="shared" si="1"/>
        <v>0</v>
      </c>
      <c r="J45" s="150">
        <f t="shared" si="1"/>
        <v>0</v>
      </c>
      <c r="K45" s="150">
        <f t="shared" si="1"/>
        <v>0</v>
      </c>
      <c r="L45" s="150">
        <f t="shared" si="1"/>
        <v>0</v>
      </c>
      <c r="M45" s="151">
        <f>SUM(M31:M44)</f>
        <v>0</v>
      </c>
    </row>
    <row r="46" spans="1:13" s="166" customFormat="1" ht="13.8" hidden="1" thickTop="1" x14ac:dyDescent="0.25">
      <c r="A46" s="148"/>
      <c r="B46" s="153">
        <v>771</v>
      </c>
      <c r="C46" s="153">
        <v>847</v>
      </c>
      <c r="D46" s="153">
        <v>861</v>
      </c>
      <c r="E46" s="153">
        <v>861</v>
      </c>
      <c r="F46" s="153">
        <v>772</v>
      </c>
      <c r="G46" s="153">
        <v>304</v>
      </c>
      <c r="H46" s="153">
        <v>361</v>
      </c>
      <c r="I46" s="153">
        <v>881</v>
      </c>
      <c r="J46" s="153">
        <v>781</v>
      </c>
      <c r="K46" s="153">
        <v>846</v>
      </c>
      <c r="L46" s="153"/>
      <c r="M46" s="155">
        <v>846</v>
      </c>
    </row>
    <row r="47" spans="1:13" ht="13.8" thickTop="1" x14ac:dyDescent="0.25">
      <c r="A47" s="102"/>
      <c r="B47" s="93"/>
      <c r="C47" s="93"/>
      <c r="D47" s="93"/>
      <c r="E47" s="93"/>
      <c r="F47" s="93"/>
      <c r="G47" s="93"/>
      <c r="H47" s="93"/>
      <c r="I47" s="93"/>
      <c r="J47" s="93"/>
      <c r="K47" s="93"/>
      <c r="L47" s="93"/>
      <c r="M47" s="103"/>
    </row>
    <row r="48" spans="1:13" ht="13.8" thickBot="1" x14ac:dyDescent="0.3">
      <c r="A48" s="157" t="s">
        <v>70</v>
      </c>
      <c r="B48" s="72"/>
      <c r="C48" s="98">
        <f>SUM(C45:M45)-B45</f>
        <v>0</v>
      </c>
      <c r="D48" s="72"/>
      <c r="E48" s="72"/>
      <c r="F48" s="72"/>
      <c r="G48" s="72"/>
      <c r="H48" s="72"/>
      <c r="I48" s="72"/>
      <c r="J48" s="72"/>
      <c r="K48" s="72"/>
      <c r="L48" s="72"/>
      <c r="M48" s="99"/>
    </row>
    <row r="49" spans="1:13" x14ac:dyDescent="0.25">
      <c r="D49" s="254" t="str">
        <f>IF(C48=0,"","ERROR - figures do not add across")</f>
        <v/>
      </c>
    </row>
    <row r="50" spans="1:13" ht="13.8" thickBot="1" x14ac:dyDescent="0.3"/>
    <row r="51" spans="1:13" ht="16.2" thickBot="1" x14ac:dyDescent="0.3">
      <c r="A51" s="139" t="s">
        <v>38</v>
      </c>
      <c r="B51" s="117"/>
      <c r="C51" s="61"/>
      <c r="D51" s="68"/>
      <c r="E51" s="68"/>
      <c r="F51" s="68"/>
      <c r="G51" s="68"/>
      <c r="H51" s="68"/>
      <c r="I51" s="68"/>
      <c r="J51" s="68"/>
      <c r="K51" s="68"/>
      <c r="L51" s="69" t="s">
        <v>69</v>
      </c>
      <c r="M51" s="140">
        <f>M4</f>
        <v>40999</v>
      </c>
    </row>
    <row r="52" spans="1:13" ht="13.8" thickBot="1" x14ac:dyDescent="0.3">
      <c r="A52" s="102"/>
      <c r="B52" s="93"/>
      <c r="C52" s="93"/>
      <c r="D52" s="93"/>
      <c r="E52" s="93"/>
      <c r="F52" s="93"/>
      <c r="G52" s="93"/>
      <c r="H52" s="93"/>
      <c r="I52" s="93"/>
      <c r="J52" s="93"/>
      <c r="K52" s="93"/>
      <c r="L52" s="93"/>
      <c r="M52" s="103"/>
    </row>
    <row r="53" spans="1:13" s="142" customFormat="1" ht="26.25" customHeight="1" thickBot="1" x14ac:dyDescent="0.3">
      <c r="A53" s="74" t="s">
        <v>56</v>
      </c>
      <c r="B53" s="106" t="s">
        <v>64</v>
      </c>
      <c r="C53" s="160" t="str">
        <f>'Month 12'!E72</f>
        <v>Motor &amp; Travel</v>
      </c>
      <c r="D53" s="106" t="str">
        <f>'Month 12'!F72</f>
        <v>Print, Post Stationery</v>
      </c>
      <c r="E53" s="160" t="str">
        <f>'Month 12'!G72</f>
        <v>Subsist Accom</v>
      </c>
      <c r="F53" s="106" t="str">
        <f>'Month 12'!H72</f>
        <v>Software &amp; Materials</v>
      </c>
      <c r="G53" s="75" t="str">
        <f>'Month 12'!I72</f>
        <v>Books &amp; Magazines</v>
      </c>
      <c r="H53" s="160" t="str">
        <f>'Month 12'!J72</f>
        <v>Mobile &amp; Telephone</v>
      </c>
      <c r="I53" s="160" t="str">
        <f>'Month 12'!K72</f>
        <v xml:space="preserve"> </v>
      </c>
      <c r="J53" s="160" t="str">
        <f>'Month 12'!L72</f>
        <v xml:space="preserve"> </v>
      </c>
      <c r="K53" s="160" t="str">
        <f>'Month 12'!M72</f>
        <v xml:space="preserve"> </v>
      </c>
      <c r="L53" s="160" t="str">
        <f>'Month 12'!N72</f>
        <v>Sundries</v>
      </c>
      <c r="M53" s="167" t="str">
        <f>'Month 12'!O72</f>
        <v>Input   VAT</v>
      </c>
    </row>
    <row r="54" spans="1:13" s="166" customFormat="1" ht="12.75" customHeight="1" x14ac:dyDescent="0.25">
      <c r="A54" s="143"/>
      <c r="B54" s="83">
        <f>SUM(C54:M54)</f>
        <v>0</v>
      </c>
      <c r="C54" s="163"/>
      <c r="D54" s="162"/>
      <c r="E54" s="163"/>
      <c r="F54" s="162"/>
      <c r="G54" s="144"/>
      <c r="H54" s="163"/>
      <c r="I54" s="164"/>
      <c r="J54" s="164"/>
      <c r="K54" s="164"/>
      <c r="L54" s="164"/>
      <c r="M54" s="168"/>
    </row>
    <row r="55" spans="1:13" x14ac:dyDescent="0.25">
      <c r="A55" s="146">
        <f>'Month 1'!O3</f>
        <v>40658</v>
      </c>
      <c r="B55" s="114">
        <f>'Month 1'!D88</f>
        <v>0</v>
      </c>
      <c r="C55" s="114">
        <f>'Month 1'!E88</f>
        <v>0</v>
      </c>
      <c r="D55" s="114">
        <f>'Month 1'!F88</f>
        <v>0</v>
      </c>
      <c r="E55" s="114">
        <f>'Month 1'!G88</f>
        <v>0</v>
      </c>
      <c r="F55" s="114">
        <f>'Month 1'!H88</f>
        <v>0</v>
      </c>
      <c r="G55" s="114">
        <f>'Month 1'!I88</f>
        <v>0</v>
      </c>
      <c r="H55" s="114">
        <f>'Month 1'!J88</f>
        <v>0</v>
      </c>
      <c r="I55" s="114">
        <f>'Month 1'!K88</f>
        <v>0</v>
      </c>
      <c r="J55" s="114">
        <f>'Month 1'!L88</f>
        <v>0</v>
      </c>
      <c r="K55" s="114">
        <f>'Month 1'!M88</f>
        <v>0</v>
      </c>
      <c r="L55" s="114">
        <f>'Month 1'!N88</f>
        <v>0</v>
      </c>
      <c r="M55" s="147">
        <f>'Month 1'!O88</f>
        <v>0</v>
      </c>
    </row>
    <row r="56" spans="1:13" x14ac:dyDescent="0.25">
      <c r="A56" s="146">
        <f>'Month 2'!O3</f>
        <v>40689</v>
      </c>
      <c r="B56" s="114">
        <f>'Month 2'!D88</f>
        <v>0</v>
      </c>
      <c r="C56" s="114">
        <f>'Month 2'!E88</f>
        <v>0</v>
      </c>
      <c r="D56" s="114">
        <f>'Month 2'!F88</f>
        <v>0</v>
      </c>
      <c r="E56" s="114">
        <f>'Month 2'!G88</f>
        <v>0</v>
      </c>
      <c r="F56" s="114">
        <f>'Month 2'!H88</f>
        <v>0</v>
      </c>
      <c r="G56" s="114">
        <f>'Month 2'!I88</f>
        <v>0</v>
      </c>
      <c r="H56" s="114">
        <f>'Month 2'!J88</f>
        <v>0</v>
      </c>
      <c r="I56" s="114">
        <f>'Month 2'!K88</f>
        <v>0</v>
      </c>
      <c r="J56" s="114">
        <f>'Month 2'!L88</f>
        <v>0</v>
      </c>
      <c r="K56" s="114">
        <f>'Month 2'!M88</f>
        <v>0</v>
      </c>
      <c r="L56" s="114">
        <f>'Month 2'!N88</f>
        <v>0</v>
      </c>
      <c r="M56" s="147">
        <f>'Month 2'!O88</f>
        <v>0</v>
      </c>
    </row>
    <row r="57" spans="1:13" x14ac:dyDescent="0.25">
      <c r="A57" s="146">
        <f>'Month 3'!O3</f>
        <v>40720</v>
      </c>
      <c r="B57" s="114">
        <f>'Month 3'!D88</f>
        <v>0</v>
      </c>
      <c r="C57" s="114">
        <f>'Month 3'!E88</f>
        <v>0</v>
      </c>
      <c r="D57" s="114">
        <f>'Month 3'!F88</f>
        <v>0</v>
      </c>
      <c r="E57" s="114">
        <f>'Month 3'!G88</f>
        <v>0</v>
      </c>
      <c r="F57" s="114">
        <f>'Month 3'!H88</f>
        <v>0</v>
      </c>
      <c r="G57" s="114">
        <f>'Month 3'!I88</f>
        <v>0</v>
      </c>
      <c r="H57" s="114">
        <f>'Month 3'!J88</f>
        <v>0</v>
      </c>
      <c r="I57" s="114">
        <f>'Month 3'!K88</f>
        <v>0</v>
      </c>
      <c r="J57" s="114">
        <f>'Month 3'!L88</f>
        <v>0</v>
      </c>
      <c r="K57" s="114">
        <f>'Month 3'!M88</f>
        <v>0</v>
      </c>
      <c r="L57" s="114">
        <f>'Month 3'!N88</f>
        <v>0</v>
      </c>
      <c r="M57" s="147">
        <f>'Month 3'!O88</f>
        <v>0</v>
      </c>
    </row>
    <row r="58" spans="1:13" x14ac:dyDescent="0.25">
      <c r="A58" s="146">
        <f>'Month 4'!O3</f>
        <v>40751</v>
      </c>
      <c r="B58" s="114">
        <f>'Month 4'!D88</f>
        <v>0</v>
      </c>
      <c r="C58" s="114">
        <f>'Month 4'!E88</f>
        <v>0</v>
      </c>
      <c r="D58" s="114">
        <f>'Month 4'!F88</f>
        <v>0</v>
      </c>
      <c r="E58" s="114">
        <f>'Month 4'!G88</f>
        <v>0</v>
      </c>
      <c r="F58" s="114">
        <f>'Month 4'!H88</f>
        <v>0</v>
      </c>
      <c r="G58" s="114">
        <f>'Month 4'!I88</f>
        <v>0</v>
      </c>
      <c r="H58" s="114">
        <f>'Month 4'!J88</f>
        <v>0</v>
      </c>
      <c r="I58" s="114">
        <f>'Month 4'!K88</f>
        <v>0</v>
      </c>
      <c r="J58" s="114">
        <f>'Month 4'!L88</f>
        <v>0</v>
      </c>
      <c r="K58" s="114">
        <f>'Month 4'!M88</f>
        <v>0</v>
      </c>
      <c r="L58" s="114">
        <f>'Month 4'!N88</f>
        <v>0</v>
      </c>
      <c r="M58" s="147">
        <f>'Month 4'!O88</f>
        <v>0</v>
      </c>
    </row>
    <row r="59" spans="1:13" x14ac:dyDescent="0.25">
      <c r="A59" s="146">
        <f>'Month 5'!O3</f>
        <v>40782</v>
      </c>
      <c r="B59" s="114">
        <f>'Month 5'!D88</f>
        <v>0</v>
      </c>
      <c r="C59" s="114">
        <f>'Month 5'!E88</f>
        <v>0</v>
      </c>
      <c r="D59" s="114">
        <f>'Month 5'!F88</f>
        <v>0</v>
      </c>
      <c r="E59" s="114">
        <f>'Month 5'!G88</f>
        <v>0</v>
      </c>
      <c r="F59" s="114">
        <f>'Month 5'!H88</f>
        <v>0</v>
      </c>
      <c r="G59" s="114">
        <f>'Month 5'!I88</f>
        <v>0</v>
      </c>
      <c r="H59" s="114">
        <f>'Month 5'!J88</f>
        <v>0</v>
      </c>
      <c r="I59" s="114">
        <f>'Month 5'!K88</f>
        <v>0</v>
      </c>
      <c r="J59" s="114">
        <f>'Month 5'!L88</f>
        <v>0</v>
      </c>
      <c r="K59" s="114">
        <f>'Month 5'!M88</f>
        <v>0</v>
      </c>
      <c r="L59" s="114">
        <f>'Month 5'!N88</f>
        <v>0</v>
      </c>
      <c r="M59" s="147">
        <f>'Month 5'!O88</f>
        <v>0</v>
      </c>
    </row>
    <row r="60" spans="1:13" x14ac:dyDescent="0.25">
      <c r="A60" s="146">
        <f>'Month 6'!O3</f>
        <v>40813</v>
      </c>
      <c r="B60" s="114">
        <f>'Month 6'!D88</f>
        <v>0</v>
      </c>
      <c r="C60" s="114">
        <f>'Month 6'!E88</f>
        <v>0</v>
      </c>
      <c r="D60" s="114">
        <f>'Month 6'!F88</f>
        <v>0</v>
      </c>
      <c r="E60" s="114">
        <f>'Month 6'!G88</f>
        <v>0</v>
      </c>
      <c r="F60" s="114">
        <f>'Month 6'!H88</f>
        <v>0</v>
      </c>
      <c r="G60" s="114">
        <f>'Month 6'!I88</f>
        <v>0</v>
      </c>
      <c r="H60" s="114">
        <f>'Month 6'!J88</f>
        <v>0</v>
      </c>
      <c r="I60" s="114">
        <f>'Month 6'!K88</f>
        <v>0</v>
      </c>
      <c r="J60" s="114">
        <f>'Month 6'!L88</f>
        <v>0</v>
      </c>
      <c r="K60" s="114">
        <f>'Month 6'!M88</f>
        <v>0</v>
      </c>
      <c r="L60" s="114">
        <f>'Month 6'!N88</f>
        <v>0</v>
      </c>
      <c r="M60" s="147">
        <f>'Month 6'!O88</f>
        <v>0</v>
      </c>
    </row>
    <row r="61" spans="1:13" x14ac:dyDescent="0.25">
      <c r="A61" s="146">
        <f>'Month 7'!O3</f>
        <v>40844</v>
      </c>
      <c r="B61" s="114">
        <f>'Month 7'!D88</f>
        <v>0</v>
      </c>
      <c r="C61" s="114">
        <f>'Month 7'!E88</f>
        <v>0</v>
      </c>
      <c r="D61" s="114">
        <f>'Month 7'!F88</f>
        <v>0</v>
      </c>
      <c r="E61" s="114">
        <f>'Month 7'!G88</f>
        <v>0</v>
      </c>
      <c r="F61" s="114">
        <f>'Month 7'!H88</f>
        <v>0</v>
      </c>
      <c r="G61" s="114">
        <f>'Month 7'!I88</f>
        <v>0</v>
      </c>
      <c r="H61" s="114">
        <f>'Month 7'!J88</f>
        <v>0</v>
      </c>
      <c r="I61" s="114">
        <f>'Month 7'!K88</f>
        <v>0</v>
      </c>
      <c r="J61" s="114">
        <f>'Month 7'!L88</f>
        <v>0</v>
      </c>
      <c r="K61" s="114">
        <f>'Month 7'!M88</f>
        <v>0</v>
      </c>
      <c r="L61" s="114">
        <f>'Month 7'!N88</f>
        <v>0</v>
      </c>
      <c r="M61" s="147">
        <f>'Month 7'!O88</f>
        <v>0</v>
      </c>
    </row>
    <row r="62" spans="1:13" x14ac:dyDescent="0.25">
      <c r="A62" s="146">
        <f>'Month 8'!O3</f>
        <v>40875</v>
      </c>
      <c r="B62" s="114">
        <f>'Month 8'!D88</f>
        <v>0</v>
      </c>
      <c r="C62" s="114">
        <f>'Month 8'!E88</f>
        <v>0</v>
      </c>
      <c r="D62" s="114">
        <f>'Month 8'!F88</f>
        <v>0</v>
      </c>
      <c r="E62" s="114">
        <f>'Month 8'!G88</f>
        <v>0</v>
      </c>
      <c r="F62" s="114">
        <f>'Month 8'!H88</f>
        <v>0</v>
      </c>
      <c r="G62" s="114">
        <f>'Month 8'!I88</f>
        <v>0</v>
      </c>
      <c r="H62" s="114">
        <f>'Month 8'!J88</f>
        <v>0</v>
      </c>
      <c r="I62" s="114">
        <f>'Month 8'!K88</f>
        <v>0</v>
      </c>
      <c r="J62" s="114">
        <f>'Month 8'!L88</f>
        <v>0</v>
      </c>
      <c r="K62" s="114">
        <f>'Month 8'!M88</f>
        <v>0</v>
      </c>
      <c r="L62" s="114">
        <f>'Month 8'!N88</f>
        <v>0</v>
      </c>
      <c r="M62" s="147">
        <f>'Month 8'!O88</f>
        <v>0</v>
      </c>
    </row>
    <row r="63" spans="1:13" x14ac:dyDescent="0.25">
      <c r="A63" s="146">
        <f>'Month 9'!O3</f>
        <v>40906</v>
      </c>
      <c r="B63" s="114">
        <f>'Month 9'!D88</f>
        <v>0</v>
      </c>
      <c r="C63" s="114">
        <f>'Month 9'!E88</f>
        <v>0</v>
      </c>
      <c r="D63" s="114">
        <f>'Month 9'!F88</f>
        <v>0</v>
      </c>
      <c r="E63" s="114">
        <f>'Month 9'!G88</f>
        <v>0</v>
      </c>
      <c r="F63" s="114">
        <f>'Month 9'!H88</f>
        <v>0</v>
      </c>
      <c r="G63" s="114">
        <f>'Month 9'!I88</f>
        <v>0</v>
      </c>
      <c r="H63" s="114">
        <f>'Month 9'!J88</f>
        <v>0</v>
      </c>
      <c r="I63" s="114">
        <f>'Month 9'!K88</f>
        <v>0</v>
      </c>
      <c r="J63" s="114">
        <f>'Month 9'!L88</f>
        <v>0</v>
      </c>
      <c r="K63" s="114">
        <f>'Month 9'!M88</f>
        <v>0</v>
      </c>
      <c r="L63" s="114">
        <f>'Month 9'!N88</f>
        <v>0</v>
      </c>
      <c r="M63" s="147">
        <f>'Month 9'!O88</f>
        <v>0</v>
      </c>
    </row>
    <row r="64" spans="1:13" x14ac:dyDescent="0.25">
      <c r="A64" s="146">
        <f>'Month 10'!O3</f>
        <v>40937</v>
      </c>
      <c r="B64" s="114">
        <f>'Month 10'!D88</f>
        <v>0</v>
      </c>
      <c r="C64" s="114">
        <f>'Month 10'!E88</f>
        <v>0</v>
      </c>
      <c r="D64" s="114">
        <f>'Month 10'!F88</f>
        <v>0</v>
      </c>
      <c r="E64" s="114">
        <f>'Month 10'!G88</f>
        <v>0</v>
      </c>
      <c r="F64" s="114">
        <f>'Month 10'!H88</f>
        <v>0</v>
      </c>
      <c r="G64" s="114">
        <f>'Month 10'!I88</f>
        <v>0</v>
      </c>
      <c r="H64" s="114">
        <f>'Month 10'!J88</f>
        <v>0</v>
      </c>
      <c r="I64" s="114">
        <f>'Month 10'!K88</f>
        <v>0</v>
      </c>
      <c r="J64" s="114">
        <f>'Month 10'!L88</f>
        <v>0</v>
      </c>
      <c r="K64" s="114">
        <f>'Month 10'!M88</f>
        <v>0</v>
      </c>
      <c r="L64" s="114">
        <f>'Month 10'!N88</f>
        <v>0</v>
      </c>
      <c r="M64" s="147">
        <f>'Month 10'!O88</f>
        <v>0</v>
      </c>
    </row>
    <row r="65" spans="1:13" x14ac:dyDescent="0.25">
      <c r="A65" s="146">
        <f>'Month 11'!O3</f>
        <v>40968</v>
      </c>
      <c r="B65" s="114">
        <f>'Month 11'!D88</f>
        <v>0</v>
      </c>
      <c r="C65" s="114">
        <f>'Month 11'!E88</f>
        <v>0</v>
      </c>
      <c r="D65" s="114">
        <f>'Month 11'!F88</f>
        <v>0</v>
      </c>
      <c r="E65" s="114">
        <f>'Month 11'!G88</f>
        <v>0</v>
      </c>
      <c r="F65" s="114">
        <f>'Month 11'!H88</f>
        <v>0</v>
      </c>
      <c r="G65" s="114">
        <f>'Month 11'!I88</f>
        <v>0</v>
      </c>
      <c r="H65" s="114">
        <f>'Month 11'!J88</f>
        <v>0</v>
      </c>
      <c r="I65" s="114">
        <f>'Month 11'!K88</f>
        <v>0</v>
      </c>
      <c r="J65" s="114">
        <f>'Month 11'!L88</f>
        <v>0</v>
      </c>
      <c r="K65" s="114">
        <f>'Month 11'!M88</f>
        <v>0</v>
      </c>
      <c r="L65" s="114">
        <f>'Month 11'!N88</f>
        <v>0</v>
      </c>
      <c r="M65" s="147">
        <f>'Month 11'!O88</f>
        <v>0</v>
      </c>
    </row>
    <row r="66" spans="1:13" x14ac:dyDescent="0.25">
      <c r="A66" s="146">
        <f>'Month 12'!O3</f>
        <v>40999</v>
      </c>
      <c r="B66" s="114">
        <f>'Month 12'!D88</f>
        <v>0</v>
      </c>
      <c r="C66" s="114">
        <f>'Month 12'!E88</f>
        <v>0</v>
      </c>
      <c r="D66" s="114">
        <f>'Month 12'!F88</f>
        <v>0</v>
      </c>
      <c r="E66" s="114">
        <f>'Month 12'!G88</f>
        <v>0</v>
      </c>
      <c r="F66" s="114">
        <f>'Month 12'!H88</f>
        <v>0</v>
      </c>
      <c r="G66" s="114">
        <f>'Month 12'!I88</f>
        <v>0</v>
      </c>
      <c r="H66" s="114">
        <f>'Month 12'!J88</f>
        <v>0</v>
      </c>
      <c r="I66" s="114">
        <f>'Month 12'!K88</f>
        <v>0</v>
      </c>
      <c r="J66" s="114">
        <f>'Month 12'!L88</f>
        <v>0</v>
      </c>
      <c r="K66" s="114">
        <f>'Month 12'!M88</f>
        <v>0</v>
      </c>
      <c r="L66" s="114">
        <f>'Month 12'!N88</f>
        <v>0</v>
      </c>
      <c r="M66" s="147">
        <f>'Month 12'!O88</f>
        <v>0</v>
      </c>
    </row>
    <row r="67" spans="1:13" x14ac:dyDescent="0.25">
      <c r="A67" s="102"/>
      <c r="B67" s="83">
        <f>SUM(C67:M67)</f>
        <v>0</v>
      </c>
      <c r="C67" s="114"/>
      <c r="D67" s="114"/>
      <c r="E67" s="114"/>
      <c r="F67" s="114"/>
      <c r="G67" s="114"/>
      <c r="H67" s="114"/>
      <c r="I67" s="114"/>
      <c r="J67" s="114"/>
      <c r="K67" s="114"/>
      <c r="L67" s="114"/>
      <c r="M67" s="103"/>
    </row>
    <row r="68" spans="1:13" ht="13.8" thickBot="1" x14ac:dyDescent="0.3">
      <c r="A68" s="148" t="s">
        <v>17</v>
      </c>
      <c r="B68" s="149">
        <f>SUM(B54:B67)</f>
        <v>0</v>
      </c>
      <c r="C68" s="150">
        <f>SUM(C54:C67)</f>
        <v>0</v>
      </c>
      <c r="D68" s="150">
        <f t="shared" ref="D68:L68" si="2">SUM(D54:D67)</f>
        <v>0</v>
      </c>
      <c r="E68" s="150">
        <f t="shared" si="2"/>
        <v>0</v>
      </c>
      <c r="F68" s="150">
        <f t="shared" si="2"/>
        <v>0</v>
      </c>
      <c r="G68" s="150">
        <f t="shared" si="2"/>
        <v>0</v>
      </c>
      <c r="H68" s="150">
        <f t="shared" si="2"/>
        <v>0</v>
      </c>
      <c r="I68" s="150">
        <f t="shared" si="2"/>
        <v>0</v>
      </c>
      <c r="J68" s="150">
        <f t="shared" si="2"/>
        <v>0</v>
      </c>
      <c r="K68" s="150">
        <f t="shared" si="2"/>
        <v>0</v>
      </c>
      <c r="L68" s="150">
        <f t="shared" si="2"/>
        <v>0</v>
      </c>
      <c r="M68" s="151">
        <f>SUM(M54:M67)</f>
        <v>0</v>
      </c>
    </row>
    <row r="69" spans="1:13" s="166" customFormat="1" ht="13.8" hidden="1" thickTop="1" x14ac:dyDescent="0.25">
      <c r="A69" s="148"/>
      <c r="B69" s="153">
        <v>781</v>
      </c>
      <c r="C69" s="153">
        <v>361</v>
      </c>
      <c r="D69" s="153">
        <v>341</v>
      </c>
      <c r="E69" s="153">
        <v>361</v>
      </c>
      <c r="F69" s="153">
        <v>346</v>
      </c>
      <c r="G69" s="153">
        <v>340</v>
      </c>
      <c r="H69" s="153">
        <v>345</v>
      </c>
      <c r="I69" s="153"/>
      <c r="J69" s="153"/>
      <c r="K69" s="153"/>
      <c r="L69" s="153"/>
      <c r="M69" s="155">
        <v>846</v>
      </c>
    </row>
    <row r="70" spans="1:13" ht="13.8" thickTop="1" x14ac:dyDescent="0.25">
      <c r="A70" s="102"/>
      <c r="B70" s="93"/>
      <c r="C70" s="93"/>
      <c r="D70" s="93"/>
      <c r="E70" s="93"/>
      <c r="F70" s="93"/>
      <c r="G70" s="93"/>
      <c r="H70" s="93"/>
      <c r="I70" s="93"/>
      <c r="J70" s="93"/>
      <c r="K70" s="93"/>
      <c r="L70" s="93"/>
      <c r="M70" s="103"/>
    </row>
    <row r="71" spans="1:13" ht="13.8" thickBot="1" x14ac:dyDescent="0.3">
      <c r="A71" s="157" t="s">
        <v>70</v>
      </c>
      <c r="B71" s="72"/>
      <c r="C71" s="98">
        <f>SUM(C68:M68)-B68</f>
        <v>0</v>
      </c>
      <c r="D71" s="72"/>
      <c r="E71" s="72"/>
      <c r="F71" s="72"/>
      <c r="G71" s="72"/>
      <c r="H71" s="72"/>
      <c r="I71" s="72"/>
      <c r="J71" s="72"/>
      <c r="K71" s="72"/>
      <c r="L71" s="72"/>
      <c r="M71" s="99"/>
    </row>
    <row r="72" spans="1:13" x14ac:dyDescent="0.25">
      <c r="D72" s="254" t="str">
        <f>IF(C71=0,"","ERROR - figures do not add across")</f>
        <v/>
      </c>
    </row>
  </sheetData>
  <customSheetViews>
    <customSheetView guid="{93A5533C-1BF0-4CFD-B527-DBAD1AD08F71}" zeroValues="0" fitToPage="1" showRuler="0">
      <selection activeCell="J19" sqref="J19"/>
      <pageMargins left="0.59055118110236227" right="0.15748031496062992" top="0.59055118110236227" bottom="0.59055118110236227" header="0.31496062992125984" footer="0.31496062992125984"/>
      <printOptions horizontalCentered="1"/>
      <pageSetup paperSize="9" scale="75" orientation="portrait" r:id="rId1"/>
      <headerFooter alignWithMargins="0">
        <oddHeader>&amp;C&amp;A</oddHeader>
        <oddFooter>&amp;L&amp;F&amp;CPage &amp;P&amp;R&amp;D</oddFooter>
      </headerFooter>
    </customSheetView>
  </customSheetViews>
  <phoneticPr fontId="0" type="noConversion"/>
  <printOptions horizontalCentered="1"/>
  <pageMargins left="0.78740157480314965" right="0.78740157480314965" top="1.1811023622047245" bottom="0.59055118110236227" header="0.31496062992125984" footer="0.31496062992125984"/>
  <pageSetup paperSize="9" fitToHeight="3" orientation="landscape" r:id="rId2"/>
  <headerFooter alignWithMargins="0">
    <oddHeader>&amp;C&amp;A</oddHeader>
    <oddFooter>&amp;L&amp;8&amp;Z&amp;F\&amp;A&amp;CPage &amp;P&amp;R&amp;D  &amp;T</oddFooter>
  </headerFooter>
  <rowBreaks count="2" manualBreakCount="2">
    <brk id="25" max="16383" man="1"/>
    <brk id="48" max="16383" man="1"/>
  </rowBreak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30015-3F0B-4B0C-8040-DBD8809467B8}">
  <sheetPr codeName="Sheet21"/>
  <dimension ref="A1:N35"/>
  <sheetViews>
    <sheetView tabSelected="1" workbookViewId="0">
      <selection activeCell="C9" sqref="C9:D9"/>
    </sheetView>
  </sheetViews>
  <sheetFormatPr defaultColWidth="11.5546875" defaultRowHeight="12.75" customHeight="1" x14ac:dyDescent="0.25"/>
  <cols>
    <col min="1" max="5" width="11.5546875" style="256"/>
    <col min="6" max="6" width="12.77734375" style="256" customWidth="1"/>
    <col min="7" max="9" width="11.5546875" style="256"/>
    <col min="10" max="10" width="14.33203125" style="256" customWidth="1"/>
    <col min="11" max="11" width="14.77734375" style="256" customWidth="1"/>
    <col min="12" max="12" width="16.109375" style="255" customWidth="1"/>
    <col min="13" max="13" width="18.33203125" style="255" customWidth="1"/>
    <col min="14" max="15" width="17.5546875" style="255" customWidth="1"/>
    <col min="16" max="16384" width="11.5546875" style="255"/>
  </cols>
  <sheetData>
    <row r="1" spans="1:14" ht="14.55" customHeight="1" thickBot="1" x14ac:dyDescent="0.3">
      <c r="A1" s="271"/>
      <c r="B1" s="271"/>
      <c r="C1" s="271"/>
      <c r="D1" s="271"/>
      <c r="E1" s="271"/>
      <c r="F1" s="271"/>
      <c r="G1" s="271"/>
      <c r="H1" s="272"/>
      <c r="I1" s="271"/>
    </row>
    <row r="2" spans="1:14" ht="21.15" customHeight="1" thickBot="1" x14ac:dyDescent="0.3">
      <c r="A2" s="332" t="s">
        <v>90</v>
      </c>
      <c r="B2" s="332"/>
      <c r="C2" s="336"/>
      <c r="D2" s="336"/>
      <c r="F2" s="337" t="s">
        <v>208</v>
      </c>
      <c r="G2" s="337"/>
      <c r="H2" s="305" t="s">
        <v>199</v>
      </c>
      <c r="I2" s="255"/>
      <c r="J2" s="335" t="s">
        <v>207</v>
      </c>
      <c r="K2" s="335"/>
      <c r="L2" s="335"/>
      <c r="M2" s="335"/>
      <c r="N2" s="335"/>
    </row>
    <row r="3" spans="1:14" ht="24.6" customHeight="1" thickBot="1" x14ac:dyDescent="0.3">
      <c r="A3" s="332" t="s">
        <v>206</v>
      </c>
      <c r="B3" s="332"/>
      <c r="C3" s="333"/>
      <c r="D3" s="333"/>
      <c r="F3" s="271"/>
      <c r="G3" s="271"/>
      <c r="H3" s="272"/>
      <c r="I3" s="255"/>
      <c r="J3" s="305" t="s">
        <v>205</v>
      </c>
      <c r="K3" s="308" t="s">
        <v>204</v>
      </c>
      <c r="L3" s="308" t="s">
        <v>203</v>
      </c>
      <c r="M3" s="308" t="s">
        <v>202</v>
      </c>
      <c r="N3" s="308" t="s">
        <v>201</v>
      </c>
    </row>
    <row r="4" spans="1:14" ht="22.8" customHeight="1" thickBot="1" x14ac:dyDescent="0.3">
      <c r="A4" s="332" t="s">
        <v>196</v>
      </c>
      <c r="B4" s="332"/>
      <c r="C4" s="333"/>
      <c r="D4" s="333"/>
      <c r="F4" s="338" t="s">
        <v>200</v>
      </c>
      <c r="G4" s="338"/>
      <c r="H4" s="307" t="s">
        <v>111</v>
      </c>
      <c r="I4" s="271"/>
      <c r="J4" s="304" t="s">
        <v>199</v>
      </c>
    </row>
    <row r="5" spans="1:14" ht="22.8" customHeight="1" thickBot="1" x14ac:dyDescent="0.3">
      <c r="A5" s="332" t="s">
        <v>196</v>
      </c>
      <c r="B5" s="332"/>
      <c r="C5" s="333"/>
      <c r="D5" s="333"/>
      <c r="F5" s="255"/>
      <c r="G5" s="271"/>
      <c r="H5" s="306"/>
      <c r="I5" s="271"/>
      <c r="J5" s="304" t="s">
        <v>198</v>
      </c>
    </row>
    <row r="6" spans="1:14" ht="22.8" customHeight="1" thickBot="1" x14ac:dyDescent="0.3">
      <c r="A6" s="332" t="s">
        <v>196</v>
      </c>
      <c r="B6" s="332"/>
      <c r="C6" s="333"/>
      <c r="D6" s="333"/>
      <c r="F6" s="271"/>
      <c r="G6" s="271"/>
      <c r="H6" s="305"/>
      <c r="I6" s="271"/>
      <c r="J6" s="304" t="s">
        <v>197</v>
      </c>
    </row>
    <row r="7" spans="1:14" ht="22.8" customHeight="1" thickBot="1" x14ac:dyDescent="0.3">
      <c r="A7" s="332" t="s">
        <v>196</v>
      </c>
      <c r="B7" s="332"/>
      <c r="C7" s="333"/>
      <c r="D7" s="333"/>
      <c r="F7" s="271"/>
      <c r="G7" s="271"/>
      <c r="H7" s="305"/>
      <c r="I7" s="271"/>
      <c r="J7" s="304" t="s">
        <v>195</v>
      </c>
    </row>
    <row r="8" spans="1:14" ht="22.2" customHeight="1" thickBot="1" x14ac:dyDescent="0.3">
      <c r="A8" s="332" t="s">
        <v>194</v>
      </c>
      <c r="B8" s="332"/>
      <c r="C8" s="334"/>
      <c r="D8" s="334"/>
      <c r="F8" s="271"/>
      <c r="G8" s="271"/>
      <c r="H8" s="272"/>
      <c r="I8" s="271"/>
      <c r="J8" s="303" t="s">
        <v>193</v>
      </c>
    </row>
    <row r="9" spans="1:14" ht="22.2" customHeight="1" thickBot="1" x14ac:dyDescent="0.3">
      <c r="A9" s="332" t="s">
        <v>192</v>
      </c>
      <c r="B9" s="332"/>
      <c r="C9" s="333"/>
      <c r="D9" s="333"/>
      <c r="F9" s="271"/>
      <c r="G9" s="271"/>
      <c r="H9" s="272"/>
      <c r="I9" s="271"/>
    </row>
    <row r="10" spans="1:14" ht="14.7" customHeight="1" x14ac:dyDescent="0.25">
      <c r="A10" s="271"/>
      <c r="B10" s="271"/>
      <c r="C10" s="271"/>
      <c r="D10" s="271"/>
      <c r="E10" s="271"/>
      <c r="F10" s="271"/>
      <c r="G10" s="302" t="s">
        <v>111</v>
      </c>
      <c r="H10" s="271"/>
      <c r="I10" s="301" t="s">
        <v>43</v>
      </c>
    </row>
    <row r="11" spans="1:14" ht="14.7" customHeight="1" thickBot="1" x14ac:dyDescent="0.3">
      <c r="A11" s="271"/>
      <c r="B11" s="271"/>
      <c r="C11" s="271"/>
      <c r="D11" s="271"/>
      <c r="E11" s="271"/>
      <c r="F11" s="271"/>
      <c r="G11" s="300" t="s">
        <v>112</v>
      </c>
      <c r="H11" s="271"/>
      <c r="I11" s="299" t="s">
        <v>44</v>
      </c>
    </row>
    <row r="12" spans="1:14" ht="15.15" customHeight="1" thickBot="1" x14ac:dyDescent="0.3">
      <c r="A12" s="298" t="s">
        <v>191</v>
      </c>
      <c r="B12" s="297"/>
      <c r="C12" s="297"/>
      <c r="D12" s="296"/>
      <c r="E12" s="295">
        <v>1</v>
      </c>
      <c r="F12" s="294"/>
      <c r="G12" s="293" t="e">
        <f>IF(H2="Q1",#REF!,(IF(H2="Q2",#REF!,(IF(H2="Q3",#REF!,#REF!)))))</f>
        <v>#REF!</v>
      </c>
      <c r="H12" s="292"/>
      <c r="I12" s="291" t="e">
        <f>IF(H2="Q1",#REF!,(IF(H2="Q2",#REF!,(IF(H2="Q3",#REF!,#REF!)))))</f>
        <v>#REF!</v>
      </c>
    </row>
    <row r="13" spans="1:14" ht="14.7" customHeight="1" thickBot="1" x14ac:dyDescent="0.3">
      <c r="A13" s="271"/>
      <c r="B13" s="287"/>
      <c r="C13" s="287"/>
      <c r="D13" s="271"/>
      <c r="E13" s="272"/>
      <c r="F13" s="271"/>
      <c r="G13" s="286"/>
      <c r="H13" s="268"/>
      <c r="I13" s="268"/>
    </row>
    <row r="14" spans="1:14" ht="15.15" customHeight="1" thickBot="1" x14ac:dyDescent="0.3">
      <c r="A14" s="266" t="s">
        <v>190</v>
      </c>
      <c r="B14" s="289"/>
      <c r="C14" s="289"/>
      <c r="D14" s="264"/>
      <c r="E14" s="328">
        <v>2</v>
      </c>
      <c r="F14" s="263"/>
      <c r="G14" s="329" t="e">
        <f>IF(H2="Q1",#REF!,(IF(H2="Q2",#REF!,(IF(H2="Q3",#REF!,#REF!)))))</f>
        <v>#REF!</v>
      </c>
      <c r="H14" s="281"/>
      <c r="I14" s="330" t="e">
        <f>IF(H2="Q1",#REF!,(IF(H2="Q2",#REF!,(IF(H2="Q3",#REF!,#REF!)))))</f>
        <v>#REF!</v>
      </c>
    </row>
    <row r="15" spans="1:14" ht="14.7" customHeight="1" thickBot="1" x14ac:dyDescent="0.3">
      <c r="A15" s="261" t="s">
        <v>98</v>
      </c>
      <c r="B15" s="288"/>
      <c r="C15" s="288"/>
      <c r="D15" s="259"/>
      <c r="E15" s="328"/>
      <c r="F15" s="258"/>
      <c r="G15" s="329"/>
      <c r="H15" s="277"/>
      <c r="I15" s="330"/>
    </row>
    <row r="16" spans="1:14" ht="14.7" customHeight="1" thickBot="1" x14ac:dyDescent="0.3">
      <c r="A16" s="271"/>
      <c r="B16" s="287"/>
      <c r="C16" s="287"/>
      <c r="D16" s="271"/>
      <c r="E16" s="272"/>
      <c r="F16" s="271"/>
      <c r="G16" s="286"/>
      <c r="H16" s="268"/>
      <c r="I16" s="268"/>
    </row>
    <row r="17" spans="1:9" ht="15.15" customHeight="1" thickBot="1" x14ac:dyDescent="0.3">
      <c r="A17" s="298" t="s">
        <v>189</v>
      </c>
      <c r="B17" s="297"/>
      <c r="C17" s="297"/>
      <c r="D17" s="296"/>
      <c r="E17" s="295">
        <v>3</v>
      </c>
      <c r="F17" s="294"/>
      <c r="G17" s="293" t="e">
        <f>IF(H2="Q1",#REF!,(IF(H2="Q2",#REF!,(IF(H2="Q3",#REF!,#REF!)))))</f>
        <v>#REF!</v>
      </c>
      <c r="H17" s="292"/>
      <c r="I17" s="291" t="e">
        <f>IF(H2="Q1",#REF!,(IF(H2="Q2",#REF!,(IF(H2="Q3",#REF!,#REF!)))))</f>
        <v>#REF!</v>
      </c>
    </row>
    <row r="18" spans="1:9" ht="14.7" customHeight="1" thickBot="1" x14ac:dyDescent="0.3">
      <c r="A18" s="290"/>
      <c r="B18" s="287"/>
      <c r="C18" s="287"/>
      <c r="D18" s="271"/>
      <c r="E18" s="272"/>
      <c r="F18" s="271"/>
      <c r="G18" s="286"/>
      <c r="H18" s="268"/>
      <c r="I18" s="268"/>
    </row>
    <row r="19" spans="1:9" ht="15.15" customHeight="1" thickBot="1" x14ac:dyDescent="0.3">
      <c r="A19" s="266" t="s">
        <v>188</v>
      </c>
      <c r="B19" s="289"/>
      <c r="C19" s="289"/>
      <c r="D19" s="264"/>
      <c r="E19" s="328">
        <v>4</v>
      </c>
      <c r="F19" s="263"/>
      <c r="G19" s="329" t="e">
        <f>IF(H2="Q1",#REF!,(IF(H2="Q2",#REF!,(IF(H2="Q3",#REF!,#REF!)))))</f>
        <v>#REF!</v>
      </c>
      <c r="H19" s="281"/>
      <c r="I19" s="330" t="e">
        <f>IF(H2="Q1",#REF!,(IF(H2="Q2",#REF!,(IF(H2="Q3",#REF!,#REF!)))))</f>
        <v>#REF!</v>
      </c>
    </row>
    <row r="20" spans="1:9" ht="14.7" customHeight="1" thickBot="1" x14ac:dyDescent="0.3">
      <c r="A20" s="261" t="s">
        <v>100</v>
      </c>
      <c r="B20" s="288"/>
      <c r="C20" s="288"/>
      <c r="D20" s="259"/>
      <c r="E20" s="328"/>
      <c r="F20" s="258"/>
      <c r="G20" s="329"/>
      <c r="H20" s="277"/>
      <c r="I20" s="330"/>
    </row>
    <row r="21" spans="1:9" ht="14.7" customHeight="1" thickBot="1" x14ac:dyDescent="0.3">
      <c r="A21" s="271"/>
      <c r="B21" s="287"/>
      <c r="C21" s="287"/>
      <c r="D21" s="271"/>
      <c r="E21" s="272"/>
      <c r="F21" s="271"/>
      <c r="G21" s="286"/>
      <c r="H21" s="268"/>
      <c r="I21" s="268"/>
    </row>
    <row r="22" spans="1:9" ht="14.7" customHeight="1" thickBot="1" x14ac:dyDescent="0.3">
      <c r="A22" s="285" t="s">
        <v>101</v>
      </c>
      <c r="B22" s="284"/>
      <c r="C22" s="283"/>
      <c r="D22" s="283"/>
      <c r="E22" s="331">
        <v>5</v>
      </c>
      <c r="F22" s="282"/>
      <c r="G22" s="329" t="e">
        <f>IF(H2="Q1",#REF!,(IF(H2="Q2",#REF!,(IF(H2="Q3",#REF!,#REF!)))))</f>
        <v>#REF!</v>
      </c>
      <c r="H22" s="281"/>
      <c r="I22" s="330" t="e">
        <f>IF(H2="Q1",#REF!,(IF(H2="Q2",#REF!,(IF(H2="Q3",#REF!,#REF!)))))</f>
        <v>#REF!</v>
      </c>
    </row>
    <row r="23" spans="1:9" ht="14.7" customHeight="1" thickBot="1" x14ac:dyDescent="0.3">
      <c r="A23" s="280" t="s">
        <v>102</v>
      </c>
      <c r="B23" s="279"/>
      <c r="C23" s="278"/>
      <c r="D23" s="278"/>
      <c r="E23" s="331"/>
      <c r="F23" s="274"/>
      <c r="G23" s="329"/>
      <c r="H23" s="277"/>
      <c r="I23" s="330"/>
    </row>
    <row r="24" spans="1:9" ht="14.7" customHeight="1" thickBot="1" x14ac:dyDescent="0.3">
      <c r="A24" s="271"/>
      <c r="B24" s="271"/>
      <c r="C24" s="271"/>
      <c r="D24" s="271"/>
      <c r="E24" s="272"/>
      <c r="F24" s="271"/>
      <c r="G24" s="276"/>
      <c r="H24" s="271"/>
      <c r="I24" s="268"/>
    </row>
    <row r="25" spans="1:9" ht="14.7" customHeight="1" thickBot="1" x14ac:dyDescent="0.3">
      <c r="A25" s="266" t="s">
        <v>103</v>
      </c>
      <c r="B25" s="265"/>
      <c r="C25" s="265"/>
      <c r="D25" s="264"/>
      <c r="E25" s="328">
        <v>6</v>
      </c>
      <c r="F25" s="263"/>
      <c r="G25" s="329" t="e">
        <f>IF(H2="Q1",#REF!,(IF(H2="Q2",#REF!,(IF(H2="Q3",#REF!,#REF!)))))</f>
        <v>#REF!</v>
      </c>
      <c r="H25" s="262"/>
      <c r="I25" s="330" t="e">
        <f>IF(H2="Q1",#REF!,(IF(H2="Q2",#REF!,(IF(H2="Q3",#REF!,#REF!)))))</f>
        <v>#REF!</v>
      </c>
    </row>
    <row r="26" spans="1:9" ht="14.7" customHeight="1" thickBot="1" x14ac:dyDescent="0.3">
      <c r="A26" s="261" t="s">
        <v>104</v>
      </c>
      <c r="B26" s="260"/>
      <c r="C26" s="260"/>
      <c r="D26" s="259"/>
      <c r="E26" s="328"/>
      <c r="F26" s="258"/>
      <c r="G26" s="329"/>
      <c r="H26" s="273"/>
      <c r="I26" s="330"/>
    </row>
    <row r="27" spans="1:9" ht="14.7" customHeight="1" thickBot="1" x14ac:dyDescent="0.3">
      <c r="A27" s="271"/>
      <c r="B27" s="271"/>
      <c r="C27" s="271"/>
      <c r="D27" s="271"/>
      <c r="E27" s="272"/>
      <c r="F27" s="271"/>
      <c r="G27" s="270"/>
      <c r="H27" s="269"/>
      <c r="I27" s="268"/>
    </row>
    <row r="28" spans="1:9" ht="14.7" customHeight="1" thickBot="1" x14ac:dyDescent="0.3">
      <c r="A28" s="266" t="s">
        <v>105</v>
      </c>
      <c r="B28" s="265"/>
      <c r="C28" s="265"/>
      <c r="D28" s="264"/>
      <c r="E28" s="328">
        <v>7</v>
      </c>
      <c r="F28" s="263"/>
      <c r="G28" s="329" t="e">
        <f>IF(H2="Q1",#REF!,(IF(H2="Q2",#REF!,(IF(H2="Q3",#REF!,#REF!)))))</f>
        <v>#REF!</v>
      </c>
      <c r="H28" s="262"/>
      <c r="I28" s="330" t="e">
        <f>IF(H2="Q1",#REF!,(IF(H2="Q2",#REF!,(IF(H2="Q3",#REF!,#REF!)))))</f>
        <v>#REF!</v>
      </c>
    </row>
    <row r="29" spans="1:9" ht="14.7" customHeight="1" thickBot="1" x14ac:dyDescent="0.3">
      <c r="A29" s="261" t="s">
        <v>119</v>
      </c>
      <c r="B29" s="260"/>
      <c r="C29" s="260"/>
      <c r="D29" s="259"/>
      <c r="E29" s="328"/>
      <c r="F29" s="275"/>
      <c r="G29" s="329"/>
      <c r="H29" s="273"/>
      <c r="I29" s="330"/>
    </row>
    <row r="30" spans="1:9" ht="14.7" customHeight="1" thickBot="1" x14ac:dyDescent="0.3">
      <c r="A30" s="271"/>
      <c r="B30" s="271"/>
      <c r="C30" s="271"/>
      <c r="D30" s="271"/>
      <c r="E30" s="272"/>
      <c r="F30" s="274"/>
      <c r="G30" s="270"/>
      <c r="H30" s="269"/>
      <c r="I30" s="268"/>
    </row>
    <row r="31" spans="1:9" ht="15.15" customHeight="1" thickBot="1" x14ac:dyDescent="0.3">
      <c r="A31" s="266" t="s">
        <v>187</v>
      </c>
      <c r="B31" s="265"/>
      <c r="C31" s="265"/>
      <c r="D31" s="264"/>
      <c r="E31" s="328">
        <v>8</v>
      </c>
      <c r="F31" s="263"/>
      <c r="G31" s="329" t="e">
        <f>IF(H2="Q1",#REF!,(IF(H2="Q2",#REF!,(IF(H2="Q3",#REF!,#REF!)))))</f>
        <v>#REF!</v>
      </c>
      <c r="H31" s="262"/>
      <c r="I31" s="330" t="e">
        <f>IF(H2="Q1",#REF!,(IF(H2="Q2",#REF!,(IF(H2="Q3",#REF!,#REF!)))))</f>
        <v>#REF!</v>
      </c>
    </row>
    <row r="32" spans="1:9" ht="14.7" customHeight="1" thickBot="1" x14ac:dyDescent="0.3">
      <c r="A32" s="261" t="s">
        <v>107</v>
      </c>
      <c r="B32" s="260"/>
      <c r="C32" s="260"/>
      <c r="D32" s="259"/>
      <c r="E32" s="328"/>
      <c r="F32" s="258"/>
      <c r="G32" s="329"/>
      <c r="H32" s="273"/>
      <c r="I32" s="330"/>
    </row>
    <row r="33" spans="1:11" ht="14.7" customHeight="1" thickBot="1" x14ac:dyDescent="0.3">
      <c r="A33" s="271"/>
      <c r="B33" s="271"/>
      <c r="C33" s="271"/>
      <c r="D33" s="271"/>
      <c r="E33" s="272"/>
      <c r="F33" s="271"/>
      <c r="G33" s="270"/>
      <c r="H33" s="269"/>
      <c r="I33" s="268"/>
      <c r="K33" s="267"/>
    </row>
    <row r="34" spans="1:11" ht="15.15" customHeight="1" thickBot="1" x14ac:dyDescent="0.3">
      <c r="A34" s="266" t="s">
        <v>186</v>
      </c>
      <c r="B34" s="265"/>
      <c r="C34" s="265"/>
      <c r="D34" s="264"/>
      <c r="E34" s="328">
        <v>9</v>
      </c>
      <c r="F34" s="263"/>
      <c r="G34" s="329" t="e">
        <f>IF(H2="Q1",#REF!,(IF(H2="Q2",#REF!,(IF(H2="Q3",#REF!,#REF!)))))</f>
        <v>#REF!</v>
      </c>
      <c r="H34" s="262"/>
      <c r="I34" s="330" t="e">
        <f>IF(H2="Q1",#REF!,(IF(H2="Q2",#REF!,(IF(H2="Q3",#REF!,#REF!)))))</f>
        <v>#REF!</v>
      </c>
    </row>
    <row r="35" spans="1:11" ht="14.7" customHeight="1" thickBot="1" x14ac:dyDescent="0.3">
      <c r="A35" s="261" t="s">
        <v>106</v>
      </c>
      <c r="B35" s="260"/>
      <c r="C35" s="260"/>
      <c r="D35" s="259"/>
      <c r="E35" s="328"/>
      <c r="F35" s="258"/>
      <c r="G35" s="329"/>
      <c r="H35" s="257"/>
      <c r="I35" s="330"/>
    </row>
  </sheetData>
  <sheetProtection selectLockedCells="1" selectUnlockedCells="1"/>
  <mergeCells count="40">
    <mergeCell ref="J2:N2"/>
    <mergeCell ref="A3:B3"/>
    <mergeCell ref="C3:D3"/>
    <mergeCell ref="A6:B6"/>
    <mergeCell ref="C6:D6"/>
    <mergeCell ref="A2:B2"/>
    <mergeCell ref="C2:D2"/>
    <mergeCell ref="F2:G2"/>
    <mergeCell ref="A4:B4"/>
    <mergeCell ref="C4:D4"/>
    <mergeCell ref="F4:G4"/>
    <mergeCell ref="A5:B5"/>
    <mergeCell ref="C5:D5"/>
    <mergeCell ref="A7:B7"/>
    <mergeCell ref="C7:D7"/>
    <mergeCell ref="A8:B8"/>
    <mergeCell ref="C8:D8"/>
    <mergeCell ref="A9:B9"/>
    <mergeCell ref="C9:D9"/>
    <mergeCell ref="E14:E15"/>
    <mergeCell ref="G14:G15"/>
    <mergeCell ref="I14:I15"/>
    <mergeCell ref="E19:E20"/>
    <mergeCell ref="G19:G20"/>
    <mergeCell ref="I19:I20"/>
    <mergeCell ref="E22:E23"/>
    <mergeCell ref="G22:G23"/>
    <mergeCell ref="I22:I23"/>
    <mergeCell ref="E25:E26"/>
    <mergeCell ref="G25:G26"/>
    <mergeCell ref="I25:I26"/>
    <mergeCell ref="E34:E35"/>
    <mergeCell ref="G34:G35"/>
    <mergeCell ref="I34:I35"/>
    <mergeCell ref="E28:E29"/>
    <mergeCell ref="G28:G29"/>
    <mergeCell ref="I28:I29"/>
    <mergeCell ref="E31:E32"/>
    <mergeCell ref="G31:G32"/>
    <mergeCell ref="I31:I32"/>
  </mergeCells>
  <dataValidations count="2">
    <dataValidation type="list" operator="equal" allowBlank="1" showErrorMessage="1" sqref="H4" xr:uid="{00000000-0002-0000-0000-000001000000}">
      <formula1>"Standard,Flat Rate"</formula1>
      <formula2>0</formula2>
    </dataValidation>
    <dataValidation type="list" operator="equal" allowBlank="1" showErrorMessage="1" sqref="H2" xr:uid="{00000000-0002-0000-0000-000000000000}">
      <formula1>"Q1,Q2,Q3,Q4"</formula1>
      <formula2>0</formula2>
    </dataValidation>
  </dataValidations>
  <printOptions horizontalCentered="1"/>
  <pageMargins left="0.3" right="0.3" top="0.60972222222222217" bottom="0.37013888888888891" header="0.1" footer="0.1"/>
  <pageSetup paperSize="9" pageOrder="overThenDown" orientation="portrait" useFirstPageNumber="1" horizontalDpi="300" verticalDpi="300" r:id="rId1"/>
  <headerFooter alignWithMargins="0">
    <oddHeader>&amp;C&amp;P</oddHeader>
    <oddFooter>&amp;C&amp;F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Push Button">
              <controlPr defaultSize="0" autoFill="0" autoLine="0" autoPict="0" macro="[0]!PushButton_Click">
                <anchor>
                  <from>
                    <xdr:col>5</xdr:col>
                    <xdr:colOff>861060</xdr:colOff>
                    <xdr:row>37</xdr:row>
                    <xdr:rowOff>0</xdr:rowOff>
                  </from>
                  <to>
                    <xdr:col>8</xdr:col>
                    <xdr:colOff>0</xdr:colOff>
                    <xdr:row>39</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Company Info</vt:lpstr>
      <vt:lpstr>Introduction</vt:lpstr>
      <vt:lpstr>Procedure</vt:lpstr>
      <vt:lpstr>Month 1</vt:lpstr>
      <vt:lpstr>Month 2</vt:lpstr>
      <vt:lpstr>Month 3</vt:lpstr>
      <vt:lpstr>Month 4</vt:lpstr>
      <vt:lpstr>Month 5</vt:lpstr>
      <vt:lpstr>Month 6</vt:lpstr>
      <vt:lpstr>Month 7</vt:lpstr>
      <vt:lpstr>Month 8</vt:lpstr>
      <vt:lpstr>Month 9</vt:lpstr>
      <vt:lpstr>Month 10</vt:lpstr>
      <vt:lpstr>Month 11</vt:lpstr>
      <vt:lpstr>Month 12</vt:lpstr>
      <vt:lpstr>VAT 1st Qtr</vt:lpstr>
      <vt:lpstr>VAT 2nd Qtr</vt:lpstr>
      <vt:lpstr>VAT 3rd Qtr</vt:lpstr>
      <vt:lpstr>VAT 4th Qtr</vt:lpstr>
      <vt:lpstr>Annual Summary</vt:lpstr>
      <vt:lpstr>MTD</vt:lpstr>
      <vt:lpstr>'Annual Summary'!Print_Titles</vt:lpstr>
    </vt:vector>
  </TitlesOfParts>
  <Company>Nyman Linden &amp;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Barnaby Park</cp:lastModifiedBy>
  <cp:lastPrinted>2011-04-26T16:44:14Z</cp:lastPrinted>
  <dcterms:created xsi:type="dcterms:W3CDTF">2004-02-09T15:46:06Z</dcterms:created>
  <dcterms:modified xsi:type="dcterms:W3CDTF">2019-05-03T17:38:28Z</dcterms:modified>
</cp:coreProperties>
</file>